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hool Files\IMSA\11th Grade\ModPhys\"/>
    </mc:Choice>
  </mc:AlternateContent>
  <xr:revisionPtr revIDLastSave="0" documentId="13_ncr:1_{71BFE383-A073-4FE5-A2A3-3C31E75C1B04}" xr6:coauthVersionLast="28" xr6:coauthVersionMax="28" xr10:uidLastSave="{00000000-0000-0000-0000-000000000000}"/>
  <bookViews>
    <workbookView xWindow="0" yWindow="0" windowWidth="19170" windowHeight="8625" activeTab="2" xr2:uid="{BF9DAFB4-8F99-4E92-AFC9-5BAF935EB741}"/>
  </bookViews>
  <sheets>
    <sheet name="Example" sheetId="1" r:id="rId1"/>
    <sheet name="EM" sheetId="3" r:id="rId2"/>
    <sheet name="Hadron" sheetId="2" r:id="rId3"/>
  </sheets>
  <calcPr calcId="171027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16" i="2" l="1"/>
  <c r="C216" i="2"/>
  <c r="D216" i="2"/>
  <c r="E216" i="2"/>
  <c r="F216" i="2" s="1"/>
  <c r="G216" i="2"/>
  <c r="B217" i="2"/>
  <c r="D217" i="2"/>
  <c r="E217" i="2"/>
  <c r="B218" i="2"/>
  <c r="D218" i="2"/>
  <c r="E218" i="2"/>
  <c r="B219" i="2"/>
  <c r="D219" i="2"/>
  <c r="E219" i="2"/>
  <c r="B220" i="2"/>
  <c r="D220" i="2"/>
  <c r="E220" i="2"/>
  <c r="B221" i="2"/>
  <c r="D221" i="2"/>
  <c r="E221" i="2"/>
  <c r="E215" i="2"/>
  <c r="D215" i="2"/>
  <c r="B215" i="2"/>
  <c r="E214" i="2"/>
  <c r="D214" i="2"/>
  <c r="B214" i="2"/>
  <c r="E213" i="2"/>
  <c r="D213" i="2"/>
  <c r="B213" i="2"/>
  <c r="E212" i="2"/>
  <c r="D212" i="2"/>
  <c r="B212" i="2"/>
  <c r="E211" i="2"/>
  <c r="D211" i="2"/>
  <c r="B211" i="2"/>
  <c r="E210" i="2"/>
  <c r="D210" i="2"/>
  <c r="B210" i="2"/>
  <c r="E209" i="2"/>
  <c r="D209" i="2"/>
  <c r="B209" i="2"/>
  <c r="E208" i="2"/>
  <c r="D208" i="2"/>
  <c r="B208" i="2"/>
  <c r="E207" i="2"/>
  <c r="D207" i="2"/>
  <c r="B207" i="2"/>
  <c r="E206" i="2"/>
  <c r="D206" i="2"/>
  <c r="B206" i="2"/>
  <c r="E205" i="2"/>
  <c r="D205" i="2"/>
  <c r="B205" i="2"/>
  <c r="E204" i="2"/>
  <c r="D204" i="2"/>
  <c r="B204" i="2"/>
  <c r="E203" i="2"/>
  <c r="D203" i="2"/>
  <c r="B203" i="2"/>
  <c r="E202" i="2"/>
  <c r="D202" i="2"/>
  <c r="B202" i="2"/>
  <c r="E201" i="2"/>
  <c r="D201" i="2"/>
  <c r="B201" i="2"/>
  <c r="E200" i="2"/>
  <c r="D200" i="2"/>
  <c r="B200" i="2"/>
  <c r="E199" i="2"/>
  <c r="D199" i="2"/>
  <c r="B199" i="2"/>
  <c r="E198" i="2"/>
  <c r="D198" i="2"/>
  <c r="B198" i="2"/>
  <c r="E197" i="2"/>
  <c r="D197" i="2"/>
  <c r="B197" i="2"/>
  <c r="E196" i="2"/>
  <c r="D196" i="2"/>
  <c r="B196" i="2"/>
  <c r="E195" i="2"/>
  <c r="D195" i="2"/>
  <c r="B195" i="2"/>
  <c r="E194" i="2"/>
  <c r="D194" i="2"/>
  <c r="B194" i="2"/>
  <c r="E193" i="2"/>
  <c r="D193" i="2"/>
  <c r="B193" i="2"/>
  <c r="E192" i="2"/>
  <c r="D192" i="2"/>
  <c r="B192" i="2"/>
  <c r="E191" i="2"/>
  <c r="D191" i="2"/>
  <c r="B191" i="2"/>
  <c r="E190" i="2"/>
  <c r="D190" i="2"/>
  <c r="B190" i="2"/>
  <c r="E189" i="2"/>
  <c r="D189" i="2"/>
  <c r="B189" i="2"/>
  <c r="E188" i="2"/>
  <c r="D188" i="2"/>
  <c r="B188" i="2"/>
  <c r="E187" i="2"/>
  <c r="D187" i="2"/>
  <c r="B187" i="2"/>
  <c r="E186" i="2"/>
  <c r="D186" i="2"/>
  <c r="B186" i="2"/>
  <c r="E185" i="2"/>
  <c r="D185" i="2"/>
  <c r="B185" i="2"/>
  <c r="E184" i="2"/>
  <c r="D184" i="2"/>
  <c r="B184" i="2"/>
  <c r="E183" i="2"/>
  <c r="F183" i="2" s="1"/>
  <c r="D183" i="2"/>
  <c r="B183" i="2"/>
  <c r="G182" i="2"/>
  <c r="F182" i="2"/>
  <c r="H182" i="2" s="1"/>
  <c r="I182" i="2" s="1"/>
  <c r="J182" i="2" s="1"/>
  <c r="C183" i="2" s="1"/>
  <c r="E182" i="2"/>
  <c r="D182" i="2"/>
  <c r="C182" i="2"/>
  <c r="B182" i="2"/>
  <c r="E181" i="2"/>
  <c r="D181" i="2"/>
  <c r="B181" i="2"/>
  <c r="E180" i="2"/>
  <c r="D180" i="2"/>
  <c r="B180" i="2"/>
  <c r="E179" i="2"/>
  <c r="D179" i="2"/>
  <c r="B179" i="2"/>
  <c r="E178" i="2"/>
  <c r="D178" i="2"/>
  <c r="B178" i="2"/>
  <c r="E177" i="2"/>
  <c r="D177" i="2"/>
  <c r="B177" i="2"/>
  <c r="E176" i="2"/>
  <c r="D176" i="2"/>
  <c r="B176" i="2"/>
  <c r="E175" i="2"/>
  <c r="D175" i="2"/>
  <c r="B175" i="2"/>
  <c r="E174" i="2"/>
  <c r="D174" i="2"/>
  <c r="B174" i="2"/>
  <c r="E173" i="2"/>
  <c r="D173" i="2"/>
  <c r="B173" i="2"/>
  <c r="E172" i="2"/>
  <c r="D172" i="2"/>
  <c r="B172" i="2"/>
  <c r="E171" i="2"/>
  <c r="D171" i="2"/>
  <c r="B171" i="2"/>
  <c r="E170" i="2"/>
  <c r="D170" i="2"/>
  <c r="B170" i="2"/>
  <c r="E169" i="2"/>
  <c r="D169" i="2"/>
  <c r="B169" i="2"/>
  <c r="E168" i="2"/>
  <c r="D168" i="2"/>
  <c r="B168" i="2"/>
  <c r="E167" i="2"/>
  <c r="D167" i="2"/>
  <c r="B167" i="2"/>
  <c r="E166" i="2"/>
  <c r="D166" i="2"/>
  <c r="B166" i="2"/>
  <c r="E165" i="2"/>
  <c r="D165" i="2"/>
  <c r="B165" i="2"/>
  <c r="E164" i="2"/>
  <c r="D164" i="2"/>
  <c r="B164" i="2"/>
  <c r="E163" i="2"/>
  <c r="D163" i="2"/>
  <c r="B163" i="2"/>
  <c r="E162" i="2"/>
  <c r="D162" i="2"/>
  <c r="B162" i="2"/>
  <c r="E161" i="2"/>
  <c r="D161" i="2"/>
  <c r="B161" i="2"/>
  <c r="E160" i="2"/>
  <c r="D160" i="2"/>
  <c r="B160" i="2"/>
  <c r="E159" i="2"/>
  <c r="D159" i="2"/>
  <c r="B159" i="2"/>
  <c r="E158" i="2"/>
  <c r="D158" i="2"/>
  <c r="B158" i="2"/>
  <c r="E157" i="2"/>
  <c r="D157" i="2"/>
  <c r="B157" i="2"/>
  <c r="E156" i="2"/>
  <c r="D156" i="2"/>
  <c r="B156" i="2"/>
  <c r="E155" i="2"/>
  <c r="D155" i="2"/>
  <c r="B155" i="2"/>
  <c r="E154" i="2"/>
  <c r="D154" i="2"/>
  <c r="B154" i="2"/>
  <c r="E153" i="2"/>
  <c r="D153" i="2"/>
  <c r="B153" i="2"/>
  <c r="E152" i="2"/>
  <c r="D152" i="2"/>
  <c r="B152" i="2"/>
  <c r="E151" i="2"/>
  <c r="D151" i="2"/>
  <c r="B151" i="2"/>
  <c r="E150" i="2"/>
  <c r="D150" i="2"/>
  <c r="B150" i="2"/>
  <c r="E149" i="2"/>
  <c r="D149" i="2"/>
  <c r="B149" i="2"/>
  <c r="E148" i="2"/>
  <c r="D148" i="2"/>
  <c r="B148" i="2"/>
  <c r="E147" i="2"/>
  <c r="D147" i="2"/>
  <c r="B147" i="2"/>
  <c r="E146" i="2"/>
  <c r="D146" i="2"/>
  <c r="B146" i="2"/>
  <c r="E145" i="2"/>
  <c r="D145" i="2"/>
  <c r="B145" i="2"/>
  <c r="E144" i="2"/>
  <c r="D144" i="2"/>
  <c r="B144" i="2"/>
  <c r="E143" i="2"/>
  <c r="D143" i="2"/>
  <c r="B143" i="2"/>
  <c r="E142" i="2"/>
  <c r="D142" i="2"/>
  <c r="B142" i="2"/>
  <c r="E141" i="2"/>
  <c r="D141" i="2"/>
  <c r="B141" i="2"/>
  <c r="E140" i="2"/>
  <c r="D140" i="2"/>
  <c r="B140" i="2"/>
  <c r="E139" i="2"/>
  <c r="D139" i="2"/>
  <c r="B139" i="2"/>
  <c r="E138" i="2"/>
  <c r="D138" i="2"/>
  <c r="B138" i="2"/>
  <c r="E137" i="2"/>
  <c r="D137" i="2"/>
  <c r="B137" i="2"/>
  <c r="E136" i="2"/>
  <c r="D136" i="2"/>
  <c r="B136" i="2"/>
  <c r="E135" i="2"/>
  <c r="D135" i="2"/>
  <c r="B135" i="2"/>
  <c r="E134" i="2"/>
  <c r="D134" i="2"/>
  <c r="B134" i="2"/>
  <c r="E133" i="2"/>
  <c r="D133" i="2"/>
  <c r="B133" i="2"/>
  <c r="E132" i="2"/>
  <c r="D132" i="2"/>
  <c r="B132" i="2"/>
  <c r="E131" i="2"/>
  <c r="D131" i="2"/>
  <c r="B131" i="2"/>
  <c r="E130" i="2"/>
  <c r="D130" i="2"/>
  <c r="B130" i="2"/>
  <c r="E129" i="2"/>
  <c r="D129" i="2"/>
  <c r="B129" i="2"/>
  <c r="E128" i="2"/>
  <c r="D128" i="2"/>
  <c r="B128" i="2"/>
  <c r="E127" i="2"/>
  <c r="D127" i="2"/>
  <c r="B127" i="2"/>
  <c r="E126" i="2"/>
  <c r="D126" i="2"/>
  <c r="B126" i="2"/>
  <c r="E125" i="2"/>
  <c r="D125" i="2"/>
  <c r="B125" i="2"/>
  <c r="E124" i="2"/>
  <c r="D124" i="2"/>
  <c r="B124" i="2"/>
  <c r="E123" i="2"/>
  <c r="D123" i="2"/>
  <c r="B123" i="2"/>
  <c r="E122" i="2"/>
  <c r="D122" i="2"/>
  <c r="B122" i="2"/>
  <c r="E121" i="2"/>
  <c r="D121" i="2"/>
  <c r="B121" i="2"/>
  <c r="E120" i="2"/>
  <c r="D120" i="2"/>
  <c r="B120" i="2"/>
  <c r="E119" i="2"/>
  <c r="D119" i="2"/>
  <c r="B119" i="2"/>
  <c r="E118" i="2"/>
  <c r="D118" i="2"/>
  <c r="B118" i="2"/>
  <c r="E117" i="2"/>
  <c r="D117" i="2"/>
  <c r="B117" i="2"/>
  <c r="E116" i="2"/>
  <c r="D116" i="2"/>
  <c r="B116" i="2"/>
  <c r="E115" i="2"/>
  <c r="D115" i="2"/>
  <c r="B115" i="2"/>
  <c r="E114" i="2"/>
  <c r="D114" i="2"/>
  <c r="B114" i="2"/>
  <c r="E113" i="2"/>
  <c r="D113" i="2"/>
  <c r="B113" i="2"/>
  <c r="E112" i="2"/>
  <c r="D112" i="2"/>
  <c r="B112" i="2"/>
  <c r="E111" i="2"/>
  <c r="D111" i="2"/>
  <c r="B111" i="2"/>
  <c r="E110" i="2"/>
  <c r="D110" i="2"/>
  <c r="B110" i="2"/>
  <c r="E109" i="2"/>
  <c r="D109" i="2"/>
  <c r="B109" i="2"/>
  <c r="E108" i="2"/>
  <c r="D108" i="2"/>
  <c r="B108" i="2"/>
  <c r="E107" i="2"/>
  <c r="D107" i="2"/>
  <c r="B107" i="2"/>
  <c r="E106" i="2"/>
  <c r="D106" i="2"/>
  <c r="B106" i="2"/>
  <c r="E105" i="2"/>
  <c r="D105" i="2"/>
  <c r="B105" i="2"/>
  <c r="E104" i="2"/>
  <c r="D104" i="2"/>
  <c r="B104" i="2"/>
  <c r="E103" i="2"/>
  <c r="D103" i="2"/>
  <c r="B103" i="2"/>
  <c r="E102" i="2"/>
  <c r="D102" i="2"/>
  <c r="F102" i="2" s="1"/>
  <c r="C102" i="2"/>
  <c r="B102" i="2"/>
  <c r="E101" i="2"/>
  <c r="D101" i="2"/>
  <c r="B101" i="2"/>
  <c r="E100" i="2"/>
  <c r="D100" i="2"/>
  <c r="B100" i="2"/>
  <c r="E99" i="2"/>
  <c r="D99" i="2"/>
  <c r="B99" i="2"/>
  <c r="E98" i="2"/>
  <c r="D98" i="2"/>
  <c r="B98" i="2"/>
  <c r="E97" i="2"/>
  <c r="D97" i="2"/>
  <c r="B97" i="2"/>
  <c r="E96" i="2"/>
  <c r="D96" i="2"/>
  <c r="B96" i="2"/>
  <c r="E95" i="2"/>
  <c r="D95" i="2"/>
  <c r="B95" i="2"/>
  <c r="E94" i="2"/>
  <c r="D94" i="2"/>
  <c r="B94" i="2"/>
  <c r="E93" i="2"/>
  <c r="D93" i="2"/>
  <c r="B93" i="2"/>
  <c r="E92" i="2"/>
  <c r="D92" i="2"/>
  <c r="B92" i="2"/>
  <c r="E91" i="2"/>
  <c r="D91" i="2"/>
  <c r="B91" i="2"/>
  <c r="E90" i="2"/>
  <c r="D90" i="2"/>
  <c r="B90" i="2"/>
  <c r="E89" i="2"/>
  <c r="D89" i="2"/>
  <c r="B89" i="2"/>
  <c r="E88" i="2"/>
  <c r="D88" i="2"/>
  <c r="B88" i="2"/>
  <c r="E87" i="2"/>
  <c r="D87" i="2"/>
  <c r="B87" i="2"/>
  <c r="E86" i="2"/>
  <c r="D86" i="2"/>
  <c r="B86" i="2"/>
  <c r="E85" i="2"/>
  <c r="D85" i="2"/>
  <c r="B85" i="2"/>
  <c r="E84" i="2"/>
  <c r="D84" i="2"/>
  <c r="B84" i="2"/>
  <c r="E83" i="2"/>
  <c r="D83" i="2"/>
  <c r="B83" i="2"/>
  <c r="E82" i="2"/>
  <c r="D82" i="2"/>
  <c r="B82" i="2"/>
  <c r="E81" i="2"/>
  <c r="D81" i="2"/>
  <c r="B81" i="2"/>
  <c r="E80" i="2"/>
  <c r="D80" i="2"/>
  <c r="B80" i="2"/>
  <c r="E79" i="2"/>
  <c r="D79" i="2"/>
  <c r="B79" i="2"/>
  <c r="E78" i="2"/>
  <c r="D78" i="2"/>
  <c r="B78" i="2"/>
  <c r="E77" i="2"/>
  <c r="D77" i="2"/>
  <c r="B77" i="2"/>
  <c r="E76" i="2"/>
  <c r="D76" i="2"/>
  <c r="B76" i="2"/>
  <c r="E75" i="2"/>
  <c r="D75" i="2"/>
  <c r="B75" i="2"/>
  <c r="E74" i="2"/>
  <c r="D74" i="2"/>
  <c r="B74" i="2"/>
  <c r="E73" i="2"/>
  <c r="D73" i="2"/>
  <c r="B73" i="2"/>
  <c r="E72" i="2"/>
  <c r="D72" i="2"/>
  <c r="B72" i="2"/>
  <c r="E71" i="2"/>
  <c r="D71" i="2"/>
  <c r="B71" i="2"/>
  <c r="E70" i="2"/>
  <c r="D70" i="2"/>
  <c r="B70" i="2"/>
  <c r="E69" i="2"/>
  <c r="D69" i="2"/>
  <c r="B69" i="2"/>
  <c r="E68" i="2"/>
  <c r="D68" i="2"/>
  <c r="B68" i="2"/>
  <c r="E67" i="2"/>
  <c r="D67" i="2"/>
  <c r="B67" i="2"/>
  <c r="E66" i="2"/>
  <c r="D66" i="2"/>
  <c r="B66" i="2"/>
  <c r="E65" i="2"/>
  <c r="D65" i="2"/>
  <c r="B65" i="2"/>
  <c r="E64" i="2"/>
  <c r="D64" i="2"/>
  <c r="B64" i="2"/>
  <c r="E63" i="2"/>
  <c r="D63" i="2"/>
  <c r="B63" i="2"/>
  <c r="E62" i="2"/>
  <c r="D62" i="2"/>
  <c r="F62" i="2" s="1"/>
  <c r="C62" i="2"/>
  <c r="G62" i="2" s="1"/>
  <c r="B62" i="2"/>
  <c r="E61" i="2"/>
  <c r="D61" i="2"/>
  <c r="B61" i="2"/>
  <c r="E60" i="2"/>
  <c r="D60" i="2"/>
  <c r="B60" i="2"/>
  <c r="E59" i="2"/>
  <c r="D59" i="2"/>
  <c r="B59" i="2"/>
  <c r="E58" i="2"/>
  <c r="D58" i="2"/>
  <c r="B58" i="2"/>
  <c r="E57" i="2"/>
  <c r="D57" i="2"/>
  <c r="B57" i="2"/>
  <c r="E56" i="2"/>
  <c r="D56" i="2"/>
  <c r="B56" i="2"/>
  <c r="E55" i="2"/>
  <c r="D55" i="2"/>
  <c r="B55" i="2"/>
  <c r="E54" i="2"/>
  <c r="D54" i="2"/>
  <c r="B54" i="2"/>
  <c r="E53" i="2"/>
  <c r="D53" i="2"/>
  <c r="F53" i="2" s="1"/>
  <c r="B53" i="2"/>
  <c r="F52" i="2"/>
  <c r="E52" i="2"/>
  <c r="D52" i="2"/>
  <c r="C52" i="2"/>
  <c r="B52" i="2"/>
  <c r="E51" i="2"/>
  <c r="D51" i="2"/>
  <c r="B51" i="2"/>
  <c r="E50" i="2"/>
  <c r="D50" i="2"/>
  <c r="B50" i="2"/>
  <c r="E49" i="2"/>
  <c r="D49" i="2"/>
  <c r="B49" i="2"/>
  <c r="E48" i="2"/>
  <c r="D48" i="2"/>
  <c r="B48" i="2"/>
  <c r="E47" i="2"/>
  <c r="D47" i="2"/>
  <c r="B47" i="2"/>
  <c r="E46" i="2"/>
  <c r="D46" i="2"/>
  <c r="B46" i="2"/>
  <c r="E45" i="2"/>
  <c r="D45" i="2"/>
  <c r="B45" i="2"/>
  <c r="E44" i="2"/>
  <c r="D44" i="2"/>
  <c r="F44" i="2" s="1"/>
  <c r="B44" i="2"/>
  <c r="F43" i="2"/>
  <c r="E43" i="2"/>
  <c r="D43" i="2"/>
  <c r="B43" i="2"/>
  <c r="F42" i="2"/>
  <c r="E42" i="2"/>
  <c r="D42" i="2"/>
  <c r="C42" i="2"/>
  <c r="B42" i="2"/>
  <c r="E41" i="2"/>
  <c r="D41" i="2"/>
  <c r="F41" i="2" s="1"/>
  <c r="C41" i="2"/>
  <c r="B41" i="2"/>
  <c r="E40" i="2"/>
  <c r="D40" i="2"/>
  <c r="B40" i="2"/>
  <c r="E39" i="2"/>
  <c r="D39" i="2"/>
  <c r="B39" i="2"/>
  <c r="E38" i="2"/>
  <c r="D38" i="2"/>
  <c r="B38" i="2"/>
  <c r="E37" i="2"/>
  <c r="D37" i="2"/>
  <c r="B37" i="2"/>
  <c r="E36" i="2"/>
  <c r="D36" i="2"/>
  <c r="B36" i="2"/>
  <c r="E35" i="2"/>
  <c r="D35" i="2"/>
  <c r="B35" i="2"/>
  <c r="E34" i="2"/>
  <c r="D34" i="2"/>
  <c r="B34" i="2"/>
  <c r="E33" i="2"/>
  <c r="D33" i="2"/>
  <c r="F33" i="2" s="1"/>
  <c r="B33" i="2"/>
  <c r="E32" i="2"/>
  <c r="F32" i="2" s="1"/>
  <c r="D32" i="2"/>
  <c r="C32" i="2"/>
  <c r="G32" i="2" s="1"/>
  <c r="B32" i="2"/>
  <c r="B31" i="2"/>
  <c r="C31" i="2"/>
  <c r="D31" i="2"/>
  <c r="E31" i="2"/>
  <c r="F31" i="2"/>
  <c r="G31" i="2"/>
  <c r="H31" i="2" s="1"/>
  <c r="I31" i="2" s="1"/>
  <c r="J31" i="2" s="1"/>
  <c r="E30" i="2"/>
  <c r="D30" i="2"/>
  <c r="B30" i="2"/>
  <c r="E29" i="2"/>
  <c r="D29" i="2"/>
  <c r="B29" i="2"/>
  <c r="E28" i="2"/>
  <c r="D28" i="2"/>
  <c r="B28" i="2"/>
  <c r="E27" i="2"/>
  <c r="D27" i="2"/>
  <c r="B27" i="2"/>
  <c r="E26" i="2"/>
  <c r="D26" i="2"/>
  <c r="B26" i="2"/>
  <c r="E25" i="2"/>
  <c r="D25" i="2"/>
  <c r="B25" i="2"/>
  <c r="E24" i="2"/>
  <c r="D24" i="2"/>
  <c r="B24" i="2"/>
  <c r="E23" i="2"/>
  <c r="D23" i="2"/>
  <c r="F23" i="2" s="1"/>
  <c r="B23" i="2"/>
  <c r="E22" i="2"/>
  <c r="D22" i="2"/>
  <c r="F22" i="2" s="1"/>
  <c r="C22" i="2"/>
  <c r="G22" i="2" s="1"/>
  <c r="B22" i="2"/>
  <c r="B14" i="2"/>
  <c r="C14" i="2"/>
  <c r="D14" i="2"/>
  <c r="E14" i="2"/>
  <c r="F14" i="2"/>
  <c r="G14" i="2"/>
  <c r="H14" i="2" s="1"/>
  <c r="I14" i="2" s="1"/>
  <c r="J14" i="2" s="1"/>
  <c r="C15" i="2" s="1"/>
  <c r="B15" i="2"/>
  <c r="D15" i="2"/>
  <c r="E15" i="2"/>
  <c r="F15" i="2"/>
  <c r="B16" i="2"/>
  <c r="D16" i="2"/>
  <c r="E16" i="2"/>
  <c r="F16" i="2"/>
  <c r="B17" i="2"/>
  <c r="D17" i="2"/>
  <c r="E17" i="2"/>
  <c r="F17" i="2"/>
  <c r="B18" i="2"/>
  <c r="D18" i="2"/>
  <c r="F18" i="2" s="1"/>
  <c r="E18" i="2"/>
  <c r="B19" i="2"/>
  <c r="D19" i="2"/>
  <c r="F19" i="2" s="1"/>
  <c r="E19" i="2"/>
  <c r="B20" i="2"/>
  <c r="D20" i="2"/>
  <c r="E20" i="2"/>
  <c r="B21" i="2"/>
  <c r="D21" i="2"/>
  <c r="E21" i="2"/>
  <c r="J13" i="2"/>
  <c r="I13" i="2"/>
  <c r="H13" i="2"/>
  <c r="G13" i="2"/>
  <c r="F13" i="2"/>
  <c r="E13" i="2"/>
  <c r="D13" i="2"/>
  <c r="C13" i="2"/>
  <c r="B13" i="2"/>
  <c r="J12" i="2"/>
  <c r="I12" i="2"/>
  <c r="H12" i="2"/>
  <c r="G12" i="2"/>
  <c r="F12" i="2"/>
  <c r="C12" i="2"/>
  <c r="E11" i="2"/>
  <c r="D11" i="2"/>
  <c r="F11" i="2" s="1"/>
  <c r="B11" i="2"/>
  <c r="E10" i="2"/>
  <c r="D10" i="2"/>
  <c r="F10" i="2" s="1"/>
  <c r="B10" i="2"/>
  <c r="E9" i="2"/>
  <c r="D9" i="2"/>
  <c r="F9" i="2" s="1"/>
  <c r="B9" i="2"/>
  <c r="E8" i="2"/>
  <c r="D8" i="2"/>
  <c r="F8" i="2" s="1"/>
  <c r="B8" i="2"/>
  <c r="E7" i="2"/>
  <c r="D7" i="2"/>
  <c r="F7" i="2" s="1"/>
  <c r="B7" i="2"/>
  <c r="E6" i="2"/>
  <c r="D6" i="2"/>
  <c r="F6" i="2" s="1"/>
  <c r="B6" i="2"/>
  <c r="E5" i="2"/>
  <c r="D5" i="2"/>
  <c r="F5" i="2" s="1"/>
  <c r="B5" i="2"/>
  <c r="F4" i="2"/>
  <c r="E4" i="2"/>
  <c r="D4" i="2"/>
  <c r="B4" i="2"/>
  <c r="E3" i="2"/>
  <c r="D3" i="2"/>
  <c r="B3" i="2"/>
  <c r="G2" i="2"/>
  <c r="F2" i="2"/>
  <c r="G2" i="3"/>
  <c r="H2" i="3" s="1"/>
  <c r="F2" i="3"/>
  <c r="F3" i="3" s="1"/>
  <c r="F217" i="2" l="1"/>
  <c r="H216" i="2"/>
  <c r="I216" i="2" s="1"/>
  <c r="J216" i="2" s="1"/>
  <c r="C217" i="2" s="1"/>
  <c r="F184" i="2"/>
  <c r="G183" i="2"/>
  <c r="H183" i="2" s="1"/>
  <c r="I183" i="2" s="1"/>
  <c r="J183" i="2" s="1"/>
  <c r="C184" i="2" s="1"/>
  <c r="F103" i="2"/>
  <c r="F105" i="2"/>
  <c r="F104" i="2"/>
  <c r="H102" i="2"/>
  <c r="I102" i="2" s="1"/>
  <c r="J102" i="2" s="1"/>
  <c r="C103" i="2" s="1"/>
  <c r="G102" i="2"/>
  <c r="H62" i="2"/>
  <c r="I62" i="2" s="1"/>
  <c r="J62" i="2" s="1"/>
  <c r="C63" i="2" s="1"/>
  <c r="F63" i="2"/>
  <c r="F55" i="2"/>
  <c r="F54" i="2"/>
  <c r="G52" i="2"/>
  <c r="H52" i="2" s="1"/>
  <c r="I52" i="2" s="1"/>
  <c r="J52" i="2" s="1"/>
  <c r="C53" i="2" s="1"/>
  <c r="F45" i="2"/>
  <c r="G42" i="2"/>
  <c r="H42" i="2" s="1"/>
  <c r="I42" i="2" s="1"/>
  <c r="J42" i="2" s="1"/>
  <c r="C43" i="2" s="1"/>
  <c r="G41" i="2"/>
  <c r="H41" i="2" s="1"/>
  <c r="I41" i="2" s="1"/>
  <c r="J41" i="2" s="1"/>
  <c r="F34" i="2"/>
  <c r="H32" i="2"/>
  <c r="I32" i="2" s="1"/>
  <c r="J32" i="2" s="1"/>
  <c r="C33" i="2" s="1"/>
  <c r="F24" i="2"/>
  <c r="H22" i="2"/>
  <c r="I22" i="2" s="1"/>
  <c r="J22" i="2" s="1"/>
  <c r="C23" i="2" s="1"/>
  <c r="F25" i="2"/>
  <c r="G15" i="2"/>
  <c r="H15" i="2" s="1"/>
  <c r="I15" i="2" s="1"/>
  <c r="J15" i="2" s="1"/>
  <c r="C16" i="2" s="1"/>
  <c r="F20" i="2"/>
  <c r="F3" i="2"/>
  <c r="H2" i="2"/>
  <c r="I2" i="2" s="1"/>
  <c r="J2" i="2" s="1"/>
  <c r="C3" i="2" s="1"/>
  <c r="G3" i="2" s="1"/>
  <c r="F4" i="3"/>
  <c r="I2" i="3"/>
  <c r="H26" i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10" i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8" i="1"/>
  <c r="H9" i="1"/>
  <c r="H4" i="1"/>
  <c r="H5" i="1" s="1"/>
  <c r="H6" i="1" s="1"/>
  <c r="H7" i="1" s="1"/>
  <c r="H3" i="1"/>
  <c r="I2" i="1"/>
  <c r="J2" i="1" s="1"/>
  <c r="K2" i="1" s="1"/>
  <c r="H2" i="1"/>
  <c r="G217" i="2" l="1"/>
  <c r="H217" i="2" s="1"/>
  <c r="I217" i="2" s="1"/>
  <c r="J217" i="2" s="1"/>
  <c r="C218" i="2" s="1"/>
  <c r="F218" i="2"/>
  <c r="G184" i="2"/>
  <c r="H184" i="2" s="1"/>
  <c r="I184" i="2" s="1"/>
  <c r="J184" i="2" s="1"/>
  <c r="C185" i="2" s="1"/>
  <c r="F185" i="2"/>
  <c r="F106" i="2"/>
  <c r="G103" i="2"/>
  <c r="H103" i="2" s="1"/>
  <c r="I103" i="2" s="1"/>
  <c r="J103" i="2" s="1"/>
  <c r="C104" i="2" s="1"/>
  <c r="F64" i="2"/>
  <c r="G63" i="2"/>
  <c r="H63" i="2" s="1"/>
  <c r="I63" i="2" s="1"/>
  <c r="J63" i="2" s="1"/>
  <c r="C64" i="2" s="1"/>
  <c r="G53" i="2"/>
  <c r="H53" i="2" s="1"/>
  <c r="I53" i="2" s="1"/>
  <c r="J53" i="2" s="1"/>
  <c r="C54" i="2" s="1"/>
  <c r="F56" i="2"/>
  <c r="G43" i="2"/>
  <c r="H43" i="2" s="1"/>
  <c r="I43" i="2" s="1"/>
  <c r="J43" i="2" s="1"/>
  <c r="C44" i="2" s="1"/>
  <c r="F46" i="2"/>
  <c r="G33" i="2"/>
  <c r="H33" i="2" s="1"/>
  <c r="I33" i="2" s="1"/>
  <c r="J33" i="2" s="1"/>
  <c r="C34" i="2" s="1"/>
  <c r="F35" i="2"/>
  <c r="F26" i="2"/>
  <c r="G23" i="2"/>
  <c r="H23" i="2" s="1"/>
  <c r="I23" i="2" s="1"/>
  <c r="J23" i="2" s="1"/>
  <c r="C24" i="2" s="1"/>
  <c r="G16" i="2"/>
  <c r="H16" i="2" s="1"/>
  <c r="I16" i="2" s="1"/>
  <c r="J16" i="2" s="1"/>
  <c r="C17" i="2" s="1"/>
  <c r="F21" i="2"/>
  <c r="H3" i="2"/>
  <c r="I3" i="2" s="1"/>
  <c r="J3" i="2" s="1"/>
  <c r="C4" i="2" s="1"/>
  <c r="G4" i="2" s="1"/>
  <c r="H4" i="2" s="1"/>
  <c r="I4" i="2" s="1"/>
  <c r="J4" i="2" s="1"/>
  <c r="C5" i="2" s="1"/>
  <c r="G5" i="2" s="1"/>
  <c r="H5" i="2" s="1"/>
  <c r="I5" i="2" s="1"/>
  <c r="J5" i="2" s="1"/>
  <c r="C6" i="2" s="1"/>
  <c r="G6" i="2" s="1"/>
  <c r="H6" i="2" s="1"/>
  <c r="I6" i="2" s="1"/>
  <c r="J6" i="2" s="1"/>
  <c r="C7" i="2" s="1"/>
  <c r="G7" i="2" s="1"/>
  <c r="H7" i="2" s="1"/>
  <c r="I7" i="2" s="1"/>
  <c r="J7" i="2" s="1"/>
  <c r="C8" i="2" s="1"/>
  <c r="G8" i="2" s="1"/>
  <c r="H8" i="2" s="1"/>
  <c r="I8" i="2" s="1"/>
  <c r="J8" i="2" s="1"/>
  <c r="C9" i="2" s="1"/>
  <c r="G9" i="2" s="1"/>
  <c r="H9" i="2" s="1"/>
  <c r="I9" i="2" s="1"/>
  <c r="J9" i="2" s="1"/>
  <c r="C10" i="2" s="1"/>
  <c r="G10" i="2" s="1"/>
  <c r="H10" i="2" s="1"/>
  <c r="I10" i="2" s="1"/>
  <c r="J10" i="2" s="1"/>
  <c r="C11" i="2" s="1"/>
  <c r="G11" i="2" s="1"/>
  <c r="H11" i="2" s="1"/>
  <c r="I11" i="2" s="1"/>
  <c r="J11" i="2" s="1"/>
  <c r="J2" i="3"/>
  <c r="C3" i="3" s="1"/>
  <c r="F5" i="3"/>
  <c r="L2" i="1"/>
  <c r="D3" i="1" s="1"/>
  <c r="G218" i="2" l="1"/>
  <c r="H218" i="2"/>
  <c r="I218" i="2" s="1"/>
  <c r="J218" i="2" s="1"/>
  <c r="C219" i="2" s="1"/>
  <c r="F219" i="2"/>
  <c r="G185" i="2"/>
  <c r="H185" i="2" s="1"/>
  <c r="I185" i="2" s="1"/>
  <c r="J185" i="2" s="1"/>
  <c r="C186" i="2" s="1"/>
  <c r="F186" i="2"/>
  <c r="G104" i="2"/>
  <c r="H104" i="2" s="1"/>
  <c r="I104" i="2" s="1"/>
  <c r="J104" i="2" s="1"/>
  <c r="C105" i="2" s="1"/>
  <c r="F107" i="2"/>
  <c r="G64" i="2"/>
  <c r="H64" i="2"/>
  <c r="I64" i="2" s="1"/>
  <c r="J64" i="2" s="1"/>
  <c r="C65" i="2" s="1"/>
  <c r="F65" i="2"/>
  <c r="G54" i="2"/>
  <c r="H54" i="2" s="1"/>
  <c r="I54" i="2" s="1"/>
  <c r="J54" i="2" s="1"/>
  <c r="C55" i="2" s="1"/>
  <c r="F57" i="2"/>
  <c r="G44" i="2"/>
  <c r="H44" i="2" s="1"/>
  <c r="I44" i="2" s="1"/>
  <c r="J44" i="2" s="1"/>
  <c r="C45" i="2" s="1"/>
  <c r="F47" i="2"/>
  <c r="G34" i="2"/>
  <c r="H34" i="2" s="1"/>
  <c r="I34" i="2" s="1"/>
  <c r="J34" i="2" s="1"/>
  <c r="C35" i="2" s="1"/>
  <c r="F36" i="2"/>
  <c r="G24" i="2"/>
  <c r="H24" i="2" s="1"/>
  <c r="I24" i="2" s="1"/>
  <c r="J24" i="2" s="1"/>
  <c r="C25" i="2" s="1"/>
  <c r="F27" i="2"/>
  <c r="G17" i="2"/>
  <c r="H17" i="2" s="1"/>
  <c r="I17" i="2" s="1"/>
  <c r="J17" i="2"/>
  <c r="C18" i="2" s="1"/>
  <c r="G3" i="3"/>
  <c r="H3" i="3" s="1"/>
  <c r="F6" i="3"/>
  <c r="I3" i="1"/>
  <c r="J3" i="1" s="1"/>
  <c r="K3" i="1" s="1"/>
  <c r="L3" i="1" s="1"/>
  <c r="D4" i="1" s="1"/>
  <c r="G219" i="2" l="1"/>
  <c r="H219" i="2" s="1"/>
  <c r="I219" i="2" s="1"/>
  <c r="J219" i="2" s="1"/>
  <c r="C220" i="2" s="1"/>
  <c r="F220" i="2"/>
  <c r="G186" i="2"/>
  <c r="H186" i="2"/>
  <c r="I186" i="2" s="1"/>
  <c r="J186" i="2" s="1"/>
  <c r="C187" i="2" s="1"/>
  <c r="F187" i="2"/>
  <c r="G105" i="2"/>
  <c r="H105" i="2" s="1"/>
  <c r="I105" i="2" s="1"/>
  <c r="J105" i="2" s="1"/>
  <c r="C106" i="2" s="1"/>
  <c r="F108" i="2"/>
  <c r="G65" i="2"/>
  <c r="F66" i="2"/>
  <c r="H65" i="2"/>
  <c r="I65" i="2" s="1"/>
  <c r="J65" i="2" s="1"/>
  <c r="C66" i="2" s="1"/>
  <c r="G55" i="2"/>
  <c r="H55" i="2" s="1"/>
  <c r="I55" i="2" s="1"/>
  <c r="J55" i="2" s="1"/>
  <c r="C56" i="2" s="1"/>
  <c r="F58" i="2"/>
  <c r="G45" i="2"/>
  <c r="H45" i="2" s="1"/>
  <c r="I45" i="2" s="1"/>
  <c r="J45" i="2" s="1"/>
  <c r="C46" i="2" s="1"/>
  <c r="F48" i="2"/>
  <c r="G35" i="2"/>
  <c r="H35" i="2" s="1"/>
  <c r="I35" i="2" s="1"/>
  <c r="J35" i="2" s="1"/>
  <c r="C36" i="2" s="1"/>
  <c r="F37" i="2"/>
  <c r="G25" i="2"/>
  <c r="H25" i="2" s="1"/>
  <c r="I25" i="2" s="1"/>
  <c r="J25" i="2" s="1"/>
  <c r="C26" i="2" s="1"/>
  <c r="F28" i="2"/>
  <c r="G18" i="2"/>
  <c r="H18" i="2" s="1"/>
  <c r="I18" i="2" s="1"/>
  <c r="J18" i="2" s="1"/>
  <c r="C19" i="2" s="1"/>
  <c r="F7" i="3"/>
  <c r="I3" i="3"/>
  <c r="I4" i="1"/>
  <c r="J4" i="1" s="1"/>
  <c r="K4" i="1" s="1"/>
  <c r="L4" i="1" s="1"/>
  <c r="D5" i="1" s="1"/>
  <c r="G220" i="2" l="1"/>
  <c r="H220" i="2" s="1"/>
  <c r="I220" i="2" s="1"/>
  <c r="J220" i="2" s="1"/>
  <c r="C221" i="2" s="1"/>
  <c r="F221" i="2"/>
  <c r="G187" i="2"/>
  <c r="H187" i="2"/>
  <c r="I187" i="2" s="1"/>
  <c r="J187" i="2" s="1"/>
  <c r="C188" i="2" s="1"/>
  <c r="F188" i="2"/>
  <c r="G106" i="2"/>
  <c r="H106" i="2" s="1"/>
  <c r="I106" i="2" s="1"/>
  <c r="J106" i="2" s="1"/>
  <c r="C107" i="2" s="1"/>
  <c r="F109" i="2"/>
  <c r="G66" i="2"/>
  <c r="H66" i="2" s="1"/>
  <c r="I66" i="2" s="1"/>
  <c r="J66" i="2" s="1"/>
  <c r="C67" i="2" s="1"/>
  <c r="F67" i="2"/>
  <c r="G56" i="2"/>
  <c r="H56" i="2" s="1"/>
  <c r="I56" i="2" s="1"/>
  <c r="J56" i="2" s="1"/>
  <c r="C57" i="2" s="1"/>
  <c r="F59" i="2"/>
  <c r="G46" i="2"/>
  <c r="H46" i="2" s="1"/>
  <c r="I46" i="2" s="1"/>
  <c r="J46" i="2" s="1"/>
  <c r="C47" i="2" s="1"/>
  <c r="F49" i="2"/>
  <c r="G36" i="2"/>
  <c r="H36" i="2" s="1"/>
  <c r="I36" i="2" s="1"/>
  <c r="J36" i="2" s="1"/>
  <c r="C37" i="2" s="1"/>
  <c r="F38" i="2"/>
  <c r="G26" i="2"/>
  <c r="H26" i="2" s="1"/>
  <c r="I26" i="2" s="1"/>
  <c r="J26" i="2" s="1"/>
  <c r="C27" i="2" s="1"/>
  <c r="F29" i="2"/>
  <c r="G19" i="2"/>
  <c r="H19" i="2" s="1"/>
  <c r="I19" i="2" s="1"/>
  <c r="J19" i="2" s="1"/>
  <c r="C20" i="2" s="1"/>
  <c r="J3" i="3"/>
  <c r="C4" i="3" s="1"/>
  <c r="F8" i="3"/>
  <c r="I5" i="1"/>
  <c r="J5" i="1" s="1"/>
  <c r="K5" i="1" s="1"/>
  <c r="L5" i="1" s="1"/>
  <c r="D6" i="1" s="1"/>
  <c r="I6" i="1" s="1"/>
  <c r="J6" i="1" s="1"/>
  <c r="K6" i="1" s="1"/>
  <c r="G221" i="2" l="1"/>
  <c r="H221" i="2"/>
  <c r="I221" i="2" s="1"/>
  <c r="J221" i="2" s="1"/>
  <c r="G188" i="2"/>
  <c r="H188" i="2"/>
  <c r="I188" i="2" s="1"/>
  <c r="J188" i="2" s="1"/>
  <c r="C189" i="2" s="1"/>
  <c r="F189" i="2"/>
  <c r="G107" i="2"/>
  <c r="H107" i="2" s="1"/>
  <c r="I107" i="2" s="1"/>
  <c r="J107" i="2" s="1"/>
  <c r="C108" i="2" s="1"/>
  <c r="F110" i="2"/>
  <c r="J67" i="2"/>
  <c r="C68" i="2" s="1"/>
  <c r="G67" i="2"/>
  <c r="H67" i="2"/>
  <c r="I67" i="2" s="1"/>
  <c r="F68" i="2"/>
  <c r="G57" i="2"/>
  <c r="H57" i="2" s="1"/>
  <c r="I57" i="2" s="1"/>
  <c r="J57" i="2" s="1"/>
  <c r="C58" i="2" s="1"/>
  <c r="F60" i="2"/>
  <c r="G47" i="2"/>
  <c r="H47" i="2" s="1"/>
  <c r="I47" i="2" s="1"/>
  <c r="J47" i="2" s="1"/>
  <c r="C48" i="2" s="1"/>
  <c r="F50" i="2"/>
  <c r="G37" i="2"/>
  <c r="H37" i="2" s="1"/>
  <c r="I37" i="2" s="1"/>
  <c r="J37" i="2" s="1"/>
  <c r="C38" i="2" s="1"/>
  <c r="F39" i="2"/>
  <c r="G27" i="2"/>
  <c r="H27" i="2" s="1"/>
  <c r="I27" i="2" s="1"/>
  <c r="J27" i="2" s="1"/>
  <c r="C28" i="2" s="1"/>
  <c r="F30" i="2"/>
  <c r="G20" i="2"/>
  <c r="H20" i="2" s="1"/>
  <c r="I20" i="2" s="1"/>
  <c r="J20" i="2" s="1"/>
  <c r="C21" i="2" s="1"/>
  <c r="G4" i="3"/>
  <c r="H4" i="3" s="1"/>
  <c r="F9" i="3"/>
  <c r="L6" i="1"/>
  <c r="D7" i="1" s="1"/>
  <c r="G189" i="2" l="1"/>
  <c r="F190" i="2"/>
  <c r="H189" i="2"/>
  <c r="I189" i="2" s="1"/>
  <c r="J189" i="2" s="1"/>
  <c r="C190" i="2" s="1"/>
  <c r="G108" i="2"/>
  <c r="H108" i="2" s="1"/>
  <c r="I108" i="2" s="1"/>
  <c r="J108" i="2" s="1"/>
  <c r="C109" i="2" s="1"/>
  <c r="F111" i="2"/>
  <c r="G68" i="2"/>
  <c r="F69" i="2"/>
  <c r="H68" i="2"/>
  <c r="I68" i="2" s="1"/>
  <c r="J68" i="2" s="1"/>
  <c r="C69" i="2" s="1"/>
  <c r="G58" i="2"/>
  <c r="H58" i="2" s="1"/>
  <c r="I58" i="2" s="1"/>
  <c r="J58" i="2" s="1"/>
  <c r="C59" i="2" s="1"/>
  <c r="F61" i="2"/>
  <c r="G48" i="2"/>
  <c r="H48" i="2" s="1"/>
  <c r="I48" i="2" s="1"/>
  <c r="J48" i="2" s="1"/>
  <c r="C49" i="2" s="1"/>
  <c r="F51" i="2"/>
  <c r="G38" i="2"/>
  <c r="H38" i="2" s="1"/>
  <c r="I38" i="2" s="1"/>
  <c r="J38" i="2" s="1"/>
  <c r="C39" i="2" s="1"/>
  <c r="F40" i="2"/>
  <c r="G28" i="2"/>
  <c r="H28" i="2" s="1"/>
  <c r="I28" i="2" s="1"/>
  <c r="J28" i="2" s="1"/>
  <c r="C29" i="2" s="1"/>
  <c r="G21" i="2"/>
  <c r="H21" i="2" s="1"/>
  <c r="I21" i="2" s="1"/>
  <c r="J21" i="2" s="1"/>
  <c r="F10" i="3"/>
  <c r="I4" i="3"/>
  <c r="I7" i="1"/>
  <c r="J7" i="1" s="1"/>
  <c r="K7" i="1" s="1"/>
  <c r="G190" i="2" l="1"/>
  <c r="H190" i="2" s="1"/>
  <c r="I190" i="2" s="1"/>
  <c r="J190" i="2" s="1"/>
  <c r="C191" i="2" s="1"/>
  <c r="F191" i="2"/>
  <c r="G109" i="2"/>
  <c r="H109" i="2" s="1"/>
  <c r="I109" i="2" s="1"/>
  <c r="J109" i="2" s="1"/>
  <c r="C110" i="2" s="1"/>
  <c r="F112" i="2"/>
  <c r="G69" i="2"/>
  <c r="H69" i="2"/>
  <c r="I69" i="2" s="1"/>
  <c r="J69" i="2" s="1"/>
  <c r="C70" i="2" s="1"/>
  <c r="F70" i="2"/>
  <c r="G59" i="2"/>
  <c r="H59" i="2" s="1"/>
  <c r="I59" i="2" s="1"/>
  <c r="J59" i="2" s="1"/>
  <c r="C60" i="2" s="1"/>
  <c r="G49" i="2"/>
  <c r="H49" i="2" s="1"/>
  <c r="I49" i="2" s="1"/>
  <c r="J49" i="2" s="1"/>
  <c r="C50" i="2" s="1"/>
  <c r="G39" i="2"/>
  <c r="H39" i="2" s="1"/>
  <c r="I39" i="2" s="1"/>
  <c r="J39" i="2" s="1"/>
  <c r="C40" i="2" s="1"/>
  <c r="G29" i="2"/>
  <c r="H29" i="2" s="1"/>
  <c r="I29" i="2" s="1"/>
  <c r="J29" i="2" s="1"/>
  <c r="C30" i="2" s="1"/>
  <c r="J4" i="3"/>
  <c r="C5" i="3" s="1"/>
  <c r="F11" i="3"/>
  <c r="L7" i="1"/>
  <c r="D8" i="1" s="1"/>
  <c r="G191" i="2" l="1"/>
  <c r="H191" i="2" s="1"/>
  <c r="I191" i="2" s="1"/>
  <c r="J191" i="2" s="1"/>
  <c r="C192" i="2" s="1"/>
  <c r="F192" i="2"/>
  <c r="G110" i="2"/>
  <c r="H110" i="2" s="1"/>
  <c r="I110" i="2" s="1"/>
  <c r="J110" i="2" s="1"/>
  <c r="C111" i="2" s="1"/>
  <c r="F113" i="2"/>
  <c r="G70" i="2"/>
  <c r="H70" i="2"/>
  <c r="I70" i="2" s="1"/>
  <c r="J70" i="2" s="1"/>
  <c r="C71" i="2" s="1"/>
  <c r="F71" i="2"/>
  <c r="G60" i="2"/>
  <c r="H60" i="2" s="1"/>
  <c r="I60" i="2" s="1"/>
  <c r="J60" i="2" s="1"/>
  <c r="C61" i="2" s="1"/>
  <c r="G50" i="2"/>
  <c r="H50" i="2" s="1"/>
  <c r="I50" i="2" s="1"/>
  <c r="J50" i="2" s="1"/>
  <c r="C51" i="2" s="1"/>
  <c r="G40" i="2"/>
  <c r="H40" i="2" s="1"/>
  <c r="I40" i="2" s="1"/>
  <c r="J40" i="2" s="1"/>
  <c r="G30" i="2"/>
  <c r="H30" i="2" s="1"/>
  <c r="I30" i="2" s="1"/>
  <c r="J30" i="2" s="1"/>
  <c r="G5" i="3"/>
  <c r="H5" i="3" s="1"/>
  <c r="F12" i="3"/>
  <c r="I8" i="1"/>
  <c r="J8" i="1" s="1"/>
  <c r="K8" i="1" s="1"/>
  <c r="G192" i="2" l="1"/>
  <c r="H192" i="2" s="1"/>
  <c r="I192" i="2" s="1"/>
  <c r="J192" i="2" s="1"/>
  <c r="C193" i="2" s="1"/>
  <c r="F193" i="2"/>
  <c r="G111" i="2"/>
  <c r="H111" i="2" s="1"/>
  <c r="I111" i="2" s="1"/>
  <c r="J111" i="2" s="1"/>
  <c r="C112" i="2" s="1"/>
  <c r="F114" i="2"/>
  <c r="G71" i="2"/>
  <c r="H71" i="2"/>
  <c r="I71" i="2" s="1"/>
  <c r="J71" i="2" s="1"/>
  <c r="C72" i="2" s="1"/>
  <c r="F72" i="2"/>
  <c r="G61" i="2"/>
  <c r="H61" i="2" s="1"/>
  <c r="I61" i="2" s="1"/>
  <c r="J61" i="2" s="1"/>
  <c r="G51" i="2"/>
  <c r="H51" i="2" s="1"/>
  <c r="I51" i="2" s="1"/>
  <c r="J51" i="2" s="1"/>
  <c r="F13" i="3"/>
  <c r="I5" i="3"/>
  <c r="L8" i="1"/>
  <c r="D9" i="1" s="1"/>
  <c r="G193" i="2" l="1"/>
  <c r="H193" i="2"/>
  <c r="I193" i="2" s="1"/>
  <c r="J193" i="2" s="1"/>
  <c r="C194" i="2" s="1"/>
  <c r="F194" i="2"/>
  <c r="G112" i="2"/>
  <c r="H112" i="2" s="1"/>
  <c r="I112" i="2" s="1"/>
  <c r="J112" i="2" s="1"/>
  <c r="C113" i="2" s="1"/>
  <c r="F115" i="2"/>
  <c r="G72" i="2"/>
  <c r="H72" i="2"/>
  <c r="I72" i="2" s="1"/>
  <c r="J72" i="2" s="1"/>
  <c r="C73" i="2" s="1"/>
  <c r="F73" i="2"/>
  <c r="F14" i="3"/>
  <c r="J5" i="3"/>
  <c r="C6" i="3" s="1"/>
  <c r="I9" i="1"/>
  <c r="J9" i="1" s="1"/>
  <c r="K9" i="1" s="1"/>
  <c r="G194" i="2" l="1"/>
  <c r="H194" i="2" s="1"/>
  <c r="I194" i="2" s="1"/>
  <c r="J194" i="2" s="1"/>
  <c r="C195" i="2" s="1"/>
  <c r="F195" i="2"/>
  <c r="G113" i="2"/>
  <c r="H113" i="2" s="1"/>
  <c r="I113" i="2" s="1"/>
  <c r="J113" i="2" s="1"/>
  <c r="C114" i="2" s="1"/>
  <c r="F116" i="2"/>
  <c r="G73" i="2"/>
  <c r="H73" i="2" s="1"/>
  <c r="I73" i="2" s="1"/>
  <c r="J73" i="2" s="1"/>
  <c r="C74" i="2" s="1"/>
  <c r="F74" i="2"/>
  <c r="G6" i="3"/>
  <c r="H6" i="3" s="1"/>
  <c r="F15" i="3"/>
  <c r="L9" i="1"/>
  <c r="D10" i="1" s="1"/>
  <c r="G195" i="2" l="1"/>
  <c r="H195" i="2" s="1"/>
  <c r="I195" i="2" s="1"/>
  <c r="J195" i="2" s="1"/>
  <c r="C196" i="2" s="1"/>
  <c r="F196" i="2"/>
  <c r="G114" i="2"/>
  <c r="H114" i="2" s="1"/>
  <c r="I114" i="2" s="1"/>
  <c r="J114" i="2" s="1"/>
  <c r="C115" i="2" s="1"/>
  <c r="F117" i="2"/>
  <c r="G74" i="2"/>
  <c r="H74" i="2"/>
  <c r="I74" i="2" s="1"/>
  <c r="J74" i="2" s="1"/>
  <c r="C75" i="2" s="1"/>
  <c r="F75" i="2"/>
  <c r="I6" i="3"/>
  <c r="F16" i="3"/>
  <c r="I10" i="1"/>
  <c r="J10" i="1" s="1"/>
  <c r="K10" i="1" s="1"/>
  <c r="G196" i="2" l="1"/>
  <c r="H196" i="2"/>
  <c r="I196" i="2" s="1"/>
  <c r="J196" i="2" s="1"/>
  <c r="C197" i="2" s="1"/>
  <c r="F197" i="2"/>
  <c r="G115" i="2"/>
  <c r="H115" i="2" s="1"/>
  <c r="I115" i="2" s="1"/>
  <c r="J115" i="2" s="1"/>
  <c r="C116" i="2" s="1"/>
  <c r="F118" i="2"/>
  <c r="G75" i="2"/>
  <c r="H75" i="2"/>
  <c r="I75" i="2" s="1"/>
  <c r="J75" i="2" s="1"/>
  <c r="C76" i="2" s="1"/>
  <c r="F76" i="2"/>
  <c r="F17" i="3"/>
  <c r="J6" i="3"/>
  <c r="C7" i="3" s="1"/>
  <c r="L10" i="1"/>
  <c r="D11" i="1" s="1"/>
  <c r="G197" i="2" l="1"/>
  <c r="F198" i="2"/>
  <c r="H197" i="2"/>
  <c r="I197" i="2" s="1"/>
  <c r="J197" i="2" s="1"/>
  <c r="C198" i="2" s="1"/>
  <c r="G116" i="2"/>
  <c r="H116" i="2" s="1"/>
  <c r="I116" i="2" s="1"/>
  <c r="J116" i="2" s="1"/>
  <c r="C117" i="2" s="1"/>
  <c r="F119" i="2"/>
  <c r="G76" i="2"/>
  <c r="H76" i="2"/>
  <c r="I76" i="2" s="1"/>
  <c r="J76" i="2" s="1"/>
  <c r="C77" i="2" s="1"/>
  <c r="F77" i="2"/>
  <c r="G7" i="3"/>
  <c r="H7" i="3" s="1"/>
  <c r="I7" i="3" s="1"/>
  <c r="J7" i="3" s="1"/>
  <c r="C8" i="3" s="1"/>
  <c r="F18" i="3"/>
  <c r="I11" i="1"/>
  <c r="J11" i="1" s="1"/>
  <c r="K11" i="1" s="1"/>
  <c r="G198" i="2" l="1"/>
  <c r="H198" i="2"/>
  <c r="I198" i="2" s="1"/>
  <c r="J198" i="2" s="1"/>
  <c r="C199" i="2" s="1"/>
  <c r="F199" i="2"/>
  <c r="G117" i="2"/>
  <c r="H117" i="2" s="1"/>
  <c r="I117" i="2" s="1"/>
  <c r="J117" i="2" s="1"/>
  <c r="C118" i="2" s="1"/>
  <c r="F120" i="2"/>
  <c r="G77" i="2"/>
  <c r="H77" i="2" s="1"/>
  <c r="I77" i="2" s="1"/>
  <c r="J77" i="2" s="1"/>
  <c r="C78" i="2" s="1"/>
  <c r="F78" i="2"/>
  <c r="G8" i="3"/>
  <c r="H8" i="3" s="1"/>
  <c r="I8" i="3" s="1"/>
  <c r="J8" i="3" s="1"/>
  <c r="C9" i="3" s="1"/>
  <c r="F19" i="3"/>
  <c r="L11" i="1"/>
  <c r="D12" i="1" s="1"/>
  <c r="G199" i="2" l="1"/>
  <c r="H199" i="2"/>
  <c r="I199" i="2" s="1"/>
  <c r="J199" i="2" s="1"/>
  <c r="C200" i="2" s="1"/>
  <c r="F200" i="2"/>
  <c r="G118" i="2"/>
  <c r="H118" i="2" s="1"/>
  <c r="I118" i="2" s="1"/>
  <c r="J118" i="2" s="1"/>
  <c r="C119" i="2" s="1"/>
  <c r="F121" i="2"/>
  <c r="G78" i="2"/>
  <c r="H78" i="2"/>
  <c r="I78" i="2" s="1"/>
  <c r="J78" i="2" s="1"/>
  <c r="C79" i="2" s="1"/>
  <c r="F79" i="2"/>
  <c r="G9" i="3"/>
  <c r="H9" i="3" s="1"/>
  <c r="I9" i="3" s="1"/>
  <c r="J9" i="3" s="1"/>
  <c r="C10" i="3" s="1"/>
  <c r="F20" i="3"/>
  <c r="I12" i="1"/>
  <c r="J12" i="1" s="1"/>
  <c r="K12" i="1" s="1"/>
  <c r="G200" i="2" l="1"/>
  <c r="H200" i="2" s="1"/>
  <c r="I200" i="2" s="1"/>
  <c r="J200" i="2" s="1"/>
  <c r="C201" i="2" s="1"/>
  <c r="F201" i="2"/>
  <c r="G119" i="2"/>
  <c r="H119" i="2" s="1"/>
  <c r="I119" i="2" s="1"/>
  <c r="J119" i="2" s="1"/>
  <c r="C120" i="2" s="1"/>
  <c r="F122" i="2"/>
  <c r="G79" i="2"/>
  <c r="H79" i="2"/>
  <c r="I79" i="2" s="1"/>
  <c r="J79" i="2" s="1"/>
  <c r="C80" i="2" s="1"/>
  <c r="F80" i="2"/>
  <c r="G10" i="3"/>
  <c r="H10" i="3" s="1"/>
  <c r="I10" i="3" s="1"/>
  <c r="J10" i="3" s="1"/>
  <c r="C11" i="3" s="1"/>
  <c r="F21" i="3"/>
  <c r="L12" i="1"/>
  <c r="D13" i="1" s="1"/>
  <c r="G201" i="2" l="1"/>
  <c r="F202" i="2"/>
  <c r="H201" i="2"/>
  <c r="I201" i="2" s="1"/>
  <c r="J201" i="2" s="1"/>
  <c r="C202" i="2" s="1"/>
  <c r="G120" i="2"/>
  <c r="H120" i="2" s="1"/>
  <c r="I120" i="2" s="1"/>
  <c r="J120" i="2" s="1"/>
  <c r="C121" i="2" s="1"/>
  <c r="F123" i="2"/>
  <c r="G80" i="2"/>
  <c r="H80" i="2"/>
  <c r="I80" i="2" s="1"/>
  <c r="J80" i="2" s="1"/>
  <c r="C81" i="2" s="1"/>
  <c r="F81" i="2"/>
  <c r="G11" i="3"/>
  <c r="H11" i="3" s="1"/>
  <c r="I11" i="3" s="1"/>
  <c r="J11" i="3" s="1"/>
  <c r="C12" i="3" s="1"/>
  <c r="F22" i="3"/>
  <c r="I13" i="1"/>
  <c r="J13" i="1" s="1"/>
  <c r="G202" i="2" l="1"/>
  <c r="H202" i="2"/>
  <c r="I202" i="2" s="1"/>
  <c r="J202" i="2" s="1"/>
  <c r="C203" i="2" s="1"/>
  <c r="F203" i="2"/>
  <c r="G121" i="2"/>
  <c r="H121" i="2" s="1"/>
  <c r="I121" i="2" s="1"/>
  <c r="J121" i="2" s="1"/>
  <c r="C122" i="2" s="1"/>
  <c r="F124" i="2"/>
  <c r="G81" i="2"/>
  <c r="H81" i="2"/>
  <c r="I81" i="2" s="1"/>
  <c r="J81" i="2" s="1"/>
  <c r="C82" i="2" s="1"/>
  <c r="F82" i="2"/>
  <c r="G12" i="3"/>
  <c r="H12" i="3" s="1"/>
  <c r="I12" i="3" s="1"/>
  <c r="J12" i="3" s="1"/>
  <c r="C13" i="3" s="1"/>
  <c r="F23" i="3"/>
  <c r="K13" i="1"/>
  <c r="L13" i="1" s="1"/>
  <c r="D14" i="1" s="1"/>
  <c r="I14" i="1" s="1"/>
  <c r="J14" i="1" s="1"/>
  <c r="K14" i="1" s="1"/>
  <c r="G203" i="2" l="1"/>
  <c r="H203" i="2"/>
  <c r="I203" i="2" s="1"/>
  <c r="J203" i="2" s="1"/>
  <c r="C204" i="2" s="1"/>
  <c r="F204" i="2"/>
  <c r="G122" i="2"/>
  <c r="H122" i="2" s="1"/>
  <c r="I122" i="2" s="1"/>
  <c r="J122" i="2" s="1"/>
  <c r="C123" i="2" s="1"/>
  <c r="F125" i="2"/>
  <c r="G82" i="2"/>
  <c r="H82" i="2"/>
  <c r="I82" i="2" s="1"/>
  <c r="J82" i="2" s="1"/>
  <c r="C83" i="2" s="1"/>
  <c r="F83" i="2"/>
  <c r="G13" i="3"/>
  <c r="H13" i="3" s="1"/>
  <c r="I13" i="3" s="1"/>
  <c r="J13" i="3" s="1"/>
  <c r="C14" i="3" s="1"/>
  <c r="F24" i="3"/>
  <c r="L14" i="1"/>
  <c r="D15" i="1" s="1"/>
  <c r="G204" i="2" l="1"/>
  <c r="H204" i="2"/>
  <c r="I204" i="2" s="1"/>
  <c r="J204" i="2" s="1"/>
  <c r="C205" i="2" s="1"/>
  <c r="F205" i="2"/>
  <c r="G123" i="2"/>
  <c r="H123" i="2" s="1"/>
  <c r="I123" i="2" s="1"/>
  <c r="J123" i="2" s="1"/>
  <c r="C124" i="2" s="1"/>
  <c r="F126" i="2"/>
  <c r="G83" i="2"/>
  <c r="H83" i="2"/>
  <c r="I83" i="2" s="1"/>
  <c r="J83" i="2" s="1"/>
  <c r="C84" i="2" s="1"/>
  <c r="F84" i="2"/>
  <c r="G14" i="3"/>
  <c r="H14" i="3" s="1"/>
  <c r="I14" i="3" s="1"/>
  <c r="J14" i="3" s="1"/>
  <c r="C15" i="3" s="1"/>
  <c r="F25" i="3"/>
  <c r="I15" i="1"/>
  <c r="J15" i="1" s="1"/>
  <c r="K15" i="1" s="1"/>
  <c r="G205" i="2" l="1"/>
  <c r="H205" i="2" s="1"/>
  <c r="I205" i="2" s="1"/>
  <c r="J205" i="2" s="1"/>
  <c r="C206" i="2" s="1"/>
  <c r="F206" i="2"/>
  <c r="G124" i="2"/>
  <c r="H124" i="2" s="1"/>
  <c r="I124" i="2" s="1"/>
  <c r="J124" i="2" s="1"/>
  <c r="C125" i="2" s="1"/>
  <c r="F127" i="2"/>
  <c r="G84" i="2"/>
  <c r="H84" i="2" s="1"/>
  <c r="I84" i="2" s="1"/>
  <c r="J84" i="2" s="1"/>
  <c r="C85" i="2" s="1"/>
  <c r="F85" i="2"/>
  <c r="G15" i="3"/>
  <c r="H15" i="3" s="1"/>
  <c r="I15" i="3" s="1"/>
  <c r="J15" i="3" s="1"/>
  <c r="C16" i="3" s="1"/>
  <c r="F26" i="3"/>
  <c r="L15" i="1"/>
  <c r="D16" i="1" s="1"/>
  <c r="G206" i="2" l="1"/>
  <c r="H206" i="2" s="1"/>
  <c r="I206" i="2" s="1"/>
  <c r="J206" i="2" s="1"/>
  <c r="C207" i="2" s="1"/>
  <c r="F207" i="2"/>
  <c r="G125" i="2"/>
  <c r="H125" i="2" s="1"/>
  <c r="I125" i="2" s="1"/>
  <c r="J125" i="2" s="1"/>
  <c r="C126" i="2" s="1"/>
  <c r="F128" i="2"/>
  <c r="G85" i="2"/>
  <c r="H85" i="2"/>
  <c r="I85" i="2" s="1"/>
  <c r="J85" i="2" s="1"/>
  <c r="C86" i="2" s="1"/>
  <c r="F86" i="2"/>
  <c r="G16" i="3"/>
  <c r="H16" i="3" s="1"/>
  <c r="I16" i="3" s="1"/>
  <c r="J16" i="3" s="1"/>
  <c r="C17" i="3" s="1"/>
  <c r="F27" i="3"/>
  <c r="I16" i="1"/>
  <c r="J16" i="1" s="1"/>
  <c r="K16" i="1" s="1"/>
  <c r="G207" i="2" l="1"/>
  <c r="H207" i="2" s="1"/>
  <c r="I207" i="2" s="1"/>
  <c r="J207" i="2" s="1"/>
  <c r="C208" i="2" s="1"/>
  <c r="F208" i="2"/>
  <c r="G126" i="2"/>
  <c r="H126" i="2" s="1"/>
  <c r="I126" i="2" s="1"/>
  <c r="J126" i="2" s="1"/>
  <c r="C127" i="2" s="1"/>
  <c r="F129" i="2"/>
  <c r="G86" i="2"/>
  <c r="H86" i="2"/>
  <c r="I86" i="2" s="1"/>
  <c r="J86" i="2" s="1"/>
  <c r="C87" i="2" s="1"/>
  <c r="F87" i="2"/>
  <c r="G17" i="3"/>
  <c r="H17" i="3" s="1"/>
  <c r="I17" i="3" s="1"/>
  <c r="J17" i="3" s="1"/>
  <c r="C18" i="3" s="1"/>
  <c r="F28" i="3"/>
  <c r="L16" i="1"/>
  <c r="D17" i="1" s="1"/>
  <c r="G208" i="2" l="1"/>
  <c r="H208" i="2" s="1"/>
  <c r="I208" i="2" s="1"/>
  <c r="J208" i="2" s="1"/>
  <c r="C209" i="2" s="1"/>
  <c r="F209" i="2"/>
  <c r="G127" i="2"/>
  <c r="H127" i="2" s="1"/>
  <c r="I127" i="2" s="1"/>
  <c r="J127" i="2" s="1"/>
  <c r="C128" i="2" s="1"/>
  <c r="F130" i="2"/>
  <c r="G87" i="2"/>
  <c r="H87" i="2"/>
  <c r="I87" i="2" s="1"/>
  <c r="J87" i="2" s="1"/>
  <c r="C88" i="2" s="1"/>
  <c r="F88" i="2"/>
  <c r="G18" i="3"/>
  <c r="H18" i="3" s="1"/>
  <c r="I18" i="3" s="1"/>
  <c r="J18" i="3" s="1"/>
  <c r="C19" i="3" s="1"/>
  <c r="F29" i="3"/>
  <c r="I17" i="1"/>
  <c r="J17" i="1" s="1"/>
  <c r="K17" i="1" s="1"/>
  <c r="G209" i="2" l="1"/>
  <c r="H209" i="2"/>
  <c r="I209" i="2" s="1"/>
  <c r="J209" i="2" s="1"/>
  <c r="C210" i="2" s="1"/>
  <c r="F210" i="2"/>
  <c r="G128" i="2"/>
  <c r="H128" i="2" s="1"/>
  <c r="I128" i="2" s="1"/>
  <c r="J128" i="2" s="1"/>
  <c r="C129" i="2" s="1"/>
  <c r="F131" i="2"/>
  <c r="G88" i="2"/>
  <c r="H88" i="2"/>
  <c r="I88" i="2" s="1"/>
  <c r="J88" i="2" s="1"/>
  <c r="C89" i="2" s="1"/>
  <c r="F89" i="2"/>
  <c r="G19" i="3"/>
  <c r="H19" i="3" s="1"/>
  <c r="I19" i="3" s="1"/>
  <c r="J19" i="3" s="1"/>
  <c r="C20" i="3" s="1"/>
  <c r="F30" i="3"/>
  <c r="L17" i="1"/>
  <c r="D18" i="1" s="1"/>
  <c r="G210" i="2" l="1"/>
  <c r="H210" i="2"/>
  <c r="I210" i="2" s="1"/>
  <c r="J210" i="2" s="1"/>
  <c r="C211" i="2" s="1"/>
  <c r="F211" i="2"/>
  <c r="G129" i="2"/>
  <c r="H129" i="2" s="1"/>
  <c r="I129" i="2" s="1"/>
  <c r="J129" i="2" s="1"/>
  <c r="C130" i="2" s="1"/>
  <c r="F132" i="2"/>
  <c r="G89" i="2"/>
  <c r="F90" i="2"/>
  <c r="H89" i="2"/>
  <c r="I89" i="2" s="1"/>
  <c r="J89" i="2" s="1"/>
  <c r="C90" i="2" s="1"/>
  <c r="G20" i="3"/>
  <c r="H20" i="3" s="1"/>
  <c r="I20" i="3" s="1"/>
  <c r="J20" i="3" s="1"/>
  <c r="C21" i="3" s="1"/>
  <c r="F31" i="3"/>
  <c r="I18" i="1"/>
  <c r="J18" i="1" s="1"/>
  <c r="K18" i="1" s="1"/>
  <c r="G211" i="2" l="1"/>
  <c r="H211" i="2"/>
  <c r="I211" i="2" s="1"/>
  <c r="J211" i="2" s="1"/>
  <c r="C212" i="2" s="1"/>
  <c r="F212" i="2"/>
  <c r="G130" i="2"/>
  <c r="H130" i="2" s="1"/>
  <c r="I130" i="2" s="1"/>
  <c r="J130" i="2" s="1"/>
  <c r="C131" i="2" s="1"/>
  <c r="F133" i="2"/>
  <c r="G90" i="2"/>
  <c r="H90" i="2"/>
  <c r="I90" i="2" s="1"/>
  <c r="J90" i="2" s="1"/>
  <c r="C91" i="2" s="1"/>
  <c r="F91" i="2"/>
  <c r="G21" i="3"/>
  <c r="H21" i="3" s="1"/>
  <c r="I21" i="3" s="1"/>
  <c r="J21" i="3" s="1"/>
  <c r="C22" i="3" s="1"/>
  <c r="F32" i="3"/>
  <c r="L18" i="1"/>
  <c r="D19" i="1" s="1"/>
  <c r="G212" i="2" l="1"/>
  <c r="H212" i="2"/>
  <c r="I212" i="2" s="1"/>
  <c r="J212" i="2" s="1"/>
  <c r="C213" i="2" s="1"/>
  <c r="F213" i="2"/>
  <c r="G131" i="2"/>
  <c r="H131" i="2" s="1"/>
  <c r="I131" i="2" s="1"/>
  <c r="J131" i="2" s="1"/>
  <c r="C132" i="2" s="1"/>
  <c r="F134" i="2"/>
  <c r="G91" i="2"/>
  <c r="H91" i="2"/>
  <c r="I91" i="2" s="1"/>
  <c r="J91" i="2" s="1"/>
  <c r="C92" i="2" s="1"/>
  <c r="F92" i="2"/>
  <c r="G22" i="3"/>
  <c r="H22" i="3" s="1"/>
  <c r="I22" i="3" s="1"/>
  <c r="J22" i="3" s="1"/>
  <c r="C23" i="3" s="1"/>
  <c r="F33" i="3"/>
  <c r="I19" i="1"/>
  <c r="J19" i="1" s="1"/>
  <c r="K19" i="1" s="1"/>
  <c r="G213" i="2" l="1"/>
  <c r="H213" i="2" s="1"/>
  <c r="I213" i="2" s="1"/>
  <c r="J213" i="2" s="1"/>
  <c r="C214" i="2" s="1"/>
  <c r="F214" i="2"/>
  <c r="G132" i="2"/>
  <c r="H132" i="2" s="1"/>
  <c r="I132" i="2" s="1"/>
  <c r="J132" i="2" s="1"/>
  <c r="C133" i="2" s="1"/>
  <c r="F135" i="2"/>
  <c r="G92" i="2"/>
  <c r="H92" i="2"/>
  <c r="I92" i="2" s="1"/>
  <c r="J92" i="2" s="1"/>
  <c r="C93" i="2" s="1"/>
  <c r="F93" i="2"/>
  <c r="G23" i="3"/>
  <c r="H23" i="3" s="1"/>
  <c r="I23" i="3" s="1"/>
  <c r="J23" i="3" s="1"/>
  <c r="C24" i="3" s="1"/>
  <c r="F34" i="3"/>
  <c r="L19" i="1"/>
  <c r="D20" i="1" s="1"/>
  <c r="G214" i="2" l="1"/>
  <c r="H214" i="2"/>
  <c r="I214" i="2" s="1"/>
  <c r="J214" i="2" s="1"/>
  <c r="C215" i="2" s="1"/>
  <c r="F215" i="2"/>
  <c r="G133" i="2"/>
  <c r="H133" i="2" s="1"/>
  <c r="I133" i="2" s="1"/>
  <c r="J133" i="2" s="1"/>
  <c r="C134" i="2" s="1"/>
  <c r="F136" i="2"/>
  <c r="G93" i="2"/>
  <c r="H93" i="2" s="1"/>
  <c r="I93" i="2" s="1"/>
  <c r="J93" i="2" s="1"/>
  <c r="C94" i="2" s="1"/>
  <c r="F94" i="2"/>
  <c r="G24" i="3"/>
  <c r="H24" i="3" s="1"/>
  <c r="I24" i="3" s="1"/>
  <c r="J24" i="3" s="1"/>
  <c r="C25" i="3" s="1"/>
  <c r="F35" i="3"/>
  <c r="I20" i="1"/>
  <c r="J20" i="1" s="1"/>
  <c r="K20" i="1" s="1"/>
  <c r="G215" i="2" l="1"/>
  <c r="H215" i="2"/>
  <c r="I215" i="2" s="1"/>
  <c r="J215" i="2" s="1"/>
  <c r="G134" i="2"/>
  <c r="H134" i="2" s="1"/>
  <c r="I134" i="2" s="1"/>
  <c r="J134" i="2" s="1"/>
  <c r="C135" i="2" s="1"/>
  <c r="F137" i="2"/>
  <c r="G94" i="2"/>
  <c r="H94" i="2"/>
  <c r="I94" i="2" s="1"/>
  <c r="J94" i="2" s="1"/>
  <c r="C95" i="2" s="1"/>
  <c r="F95" i="2"/>
  <c r="G25" i="3"/>
  <c r="H25" i="3" s="1"/>
  <c r="I25" i="3" s="1"/>
  <c r="J25" i="3" s="1"/>
  <c r="C26" i="3" s="1"/>
  <c r="F36" i="3"/>
  <c r="L20" i="1"/>
  <c r="D21" i="1" s="1"/>
  <c r="G135" i="2" l="1"/>
  <c r="H135" i="2" s="1"/>
  <c r="I135" i="2" s="1"/>
  <c r="J135" i="2" s="1"/>
  <c r="C136" i="2" s="1"/>
  <c r="F138" i="2"/>
  <c r="G95" i="2"/>
  <c r="H95" i="2"/>
  <c r="I95" i="2" s="1"/>
  <c r="J95" i="2" s="1"/>
  <c r="C96" i="2" s="1"/>
  <c r="F96" i="2"/>
  <c r="G26" i="3"/>
  <c r="H26" i="3" s="1"/>
  <c r="I26" i="3" s="1"/>
  <c r="J26" i="3" s="1"/>
  <c r="C27" i="3" s="1"/>
  <c r="F37" i="3"/>
  <c r="I21" i="1"/>
  <c r="J21" i="1" s="1"/>
  <c r="K21" i="1" s="1"/>
  <c r="G136" i="2" l="1"/>
  <c r="H136" i="2" s="1"/>
  <c r="I136" i="2" s="1"/>
  <c r="J136" i="2" s="1"/>
  <c r="C137" i="2" s="1"/>
  <c r="F139" i="2"/>
  <c r="G96" i="2"/>
  <c r="H96" i="2"/>
  <c r="I96" i="2" s="1"/>
  <c r="J96" i="2" s="1"/>
  <c r="C97" i="2" s="1"/>
  <c r="F97" i="2"/>
  <c r="G27" i="3"/>
  <c r="H27" i="3" s="1"/>
  <c r="I27" i="3" s="1"/>
  <c r="J27" i="3" s="1"/>
  <c r="C28" i="3" s="1"/>
  <c r="F38" i="3"/>
  <c r="L21" i="1"/>
  <c r="D22" i="1" s="1"/>
  <c r="G137" i="2" l="1"/>
  <c r="H137" i="2" s="1"/>
  <c r="I137" i="2" s="1"/>
  <c r="J137" i="2" s="1"/>
  <c r="C138" i="2" s="1"/>
  <c r="F140" i="2"/>
  <c r="G97" i="2"/>
  <c r="F98" i="2"/>
  <c r="H97" i="2"/>
  <c r="I97" i="2" s="1"/>
  <c r="J97" i="2" s="1"/>
  <c r="C98" i="2" s="1"/>
  <c r="G28" i="3"/>
  <c r="H28" i="3" s="1"/>
  <c r="I28" i="3" s="1"/>
  <c r="J28" i="3" s="1"/>
  <c r="C29" i="3" s="1"/>
  <c r="F39" i="3"/>
  <c r="I22" i="1"/>
  <c r="J22" i="1" s="1"/>
  <c r="K22" i="1" s="1"/>
  <c r="G138" i="2" l="1"/>
  <c r="H138" i="2" s="1"/>
  <c r="I138" i="2" s="1"/>
  <c r="J138" i="2" s="1"/>
  <c r="C139" i="2" s="1"/>
  <c r="F141" i="2"/>
  <c r="G98" i="2"/>
  <c r="H98" i="2" s="1"/>
  <c r="I98" i="2" s="1"/>
  <c r="J98" i="2" s="1"/>
  <c r="C99" i="2" s="1"/>
  <c r="F99" i="2"/>
  <c r="G29" i="3"/>
  <c r="H29" i="3" s="1"/>
  <c r="I29" i="3" s="1"/>
  <c r="J29" i="3" s="1"/>
  <c r="C30" i="3" s="1"/>
  <c r="F40" i="3"/>
  <c r="L22" i="1"/>
  <c r="D23" i="1" s="1"/>
  <c r="G139" i="2" l="1"/>
  <c r="H139" i="2" s="1"/>
  <c r="I139" i="2" s="1"/>
  <c r="J139" i="2" s="1"/>
  <c r="C140" i="2" s="1"/>
  <c r="F142" i="2"/>
  <c r="G99" i="2"/>
  <c r="H99" i="2" s="1"/>
  <c r="I99" i="2" s="1"/>
  <c r="J99" i="2" s="1"/>
  <c r="C100" i="2" s="1"/>
  <c r="F100" i="2"/>
  <c r="G30" i="3"/>
  <c r="H30" i="3" s="1"/>
  <c r="I30" i="3" s="1"/>
  <c r="J30" i="3" s="1"/>
  <c r="C31" i="3" s="1"/>
  <c r="F41" i="3"/>
  <c r="I23" i="1"/>
  <c r="J23" i="1" s="1"/>
  <c r="K23" i="1" s="1"/>
  <c r="G140" i="2" l="1"/>
  <c r="H140" i="2" s="1"/>
  <c r="I140" i="2" s="1"/>
  <c r="J140" i="2" s="1"/>
  <c r="C141" i="2" s="1"/>
  <c r="F143" i="2"/>
  <c r="G100" i="2"/>
  <c r="H100" i="2"/>
  <c r="I100" i="2" s="1"/>
  <c r="J100" i="2" s="1"/>
  <c r="C101" i="2" s="1"/>
  <c r="F101" i="2"/>
  <c r="G31" i="3"/>
  <c r="H31" i="3" s="1"/>
  <c r="I31" i="3" s="1"/>
  <c r="J31" i="3" s="1"/>
  <c r="C32" i="3" s="1"/>
  <c r="F42" i="3"/>
  <c r="L23" i="1"/>
  <c r="D24" i="1" s="1"/>
  <c r="G141" i="2" l="1"/>
  <c r="H141" i="2" s="1"/>
  <c r="I141" i="2" s="1"/>
  <c r="J141" i="2" s="1"/>
  <c r="C142" i="2" s="1"/>
  <c r="F144" i="2"/>
  <c r="G101" i="2"/>
  <c r="H101" i="2"/>
  <c r="I101" i="2" s="1"/>
  <c r="J101" i="2" s="1"/>
  <c r="G32" i="3"/>
  <c r="H32" i="3" s="1"/>
  <c r="I32" i="3" s="1"/>
  <c r="J32" i="3" s="1"/>
  <c r="C33" i="3" s="1"/>
  <c r="F43" i="3"/>
  <c r="I24" i="1"/>
  <c r="J24" i="1" s="1"/>
  <c r="K24" i="1" s="1"/>
  <c r="G142" i="2" l="1"/>
  <c r="H142" i="2" s="1"/>
  <c r="I142" i="2" s="1"/>
  <c r="J142" i="2" s="1"/>
  <c r="C143" i="2" s="1"/>
  <c r="F145" i="2"/>
  <c r="G33" i="3"/>
  <c r="H33" i="3" s="1"/>
  <c r="I33" i="3" s="1"/>
  <c r="J33" i="3" s="1"/>
  <c r="C34" i="3" s="1"/>
  <c r="F44" i="3"/>
  <c r="L24" i="1"/>
  <c r="D25" i="1" s="1"/>
  <c r="G143" i="2" l="1"/>
  <c r="H143" i="2" s="1"/>
  <c r="I143" i="2" s="1"/>
  <c r="J143" i="2" s="1"/>
  <c r="C144" i="2" s="1"/>
  <c r="F146" i="2"/>
  <c r="G34" i="3"/>
  <c r="H34" i="3" s="1"/>
  <c r="I34" i="3" s="1"/>
  <c r="J34" i="3" s="1"/>
  <c r="C35" i="3" s="1"/>
  <c r="F45" i="3"/>
  <c r="I25" i="1"/>
  <c r="J25" i="1" s="1"/>
  <c r="K25" i="1" s="1"/>
  <c r="G144" i="2" l="1"/>
  <c r="H144" i="2" s="1"/>
  <c r="I144" i="2" s="1"/>
  <c r="J144" i="2" s="1"/>
  <c r="C145" i="2" s="1"/>
  <c r="F147" i="2"/>
  <c r="G35" i="3"/>
  <c r="H35" i="3" s="1"/>
  <c r="I35" i="3" s="1"/>
  <c r="J35" i="3" s="1"/>
  <c r="C36" i="3" s="1"/>
  <c r="F46" i="3"/>
  <c r="L25" i="1"/>
  <c r="D26" i="1" s="1"/>
  <c r="G145" i="2" l="1"/>
  <c r="H145" i="2" s="1"/>
  <c r="I145" i="2" s="1"/>
  <c r="J145" i="2" s="1"/>
  <c r="C146" i="2" s="1"/>
  <c r="F148" i="2"/>
  <c r="G36" i="3"/>
  <c r="H36" i="3" s="1"/>
  <c r="I36" i="3" s="1"/>
  <c r="J36" i="3" s="1"/>
  <c r="C37" i="3" s="1"/>
  <c r="F47" i="3"/>
  <c r="I26" i="1"/>
  <c r="J26" i="1" s="1"/>
  <c r="K26" i="1" s="1"/>
  <c r="G146" i="2" l="1"/>
  <c r="H146" i="2" s="1"/>
  <c r="I146" i="2" s="1"/>
  <c r="J146" i="2" s="1"/>
  <c r="C147" i="2" s="1"/>
  <c r="F149" i="2"/>
  <c r="G37" i="3"/>
  <c r="H37" i="3" s="1"/>
  <c r="I37" i="3" s="1"/>
  <c r="J37" i="3" s="1"/>
  <c r="C38" i="3" s="1"/>
  <c r="F48" i="3"/>
  <c r="L26" i="1"/>
  <c r="D27" i="1" s="1"/>
  <c r="G147" i="2" l="1"/>
  <c r="H147" i="2" s="1"/>
  <c r="I147" i="2" s="1"/>
  <c r="J147" i="2" s="1"/>
  <c r="C148" i="2" s="1"/>
  <c r="F150" i="2"/>
  <c r="G38" i="3"/>
  <c r="H38" i="3" s="1"/>
  <c r="I38" i="3" s="1"/>
  <c r="J38" i="3" s="1"/>
  <c r="C39" i="3" s="1"/>
  <c r="F49" i="3"/>
  <c r="I27" i="1"/>
  <c r="J27" i="1" s="1"/>
  <c r="K27" i="1" s="1"/>
  <c r="G148" i="2" l="1"/>
  <c r="H148" i="2" s="1"/>
  <c r="I148" i="2" s="1"/>
  <c r="J148" i="2" s="1"/>
  <c r="C149" i="2" s="1"/>
  <c r="F151" i="2"/>
  <c r="G39" i="3"/>
  <c r="H39" i="3" s="1"/>
  <c r="I39" i="3" s="1"/>
  <c r="J39" i="3" s="1"/>
  <c r="C40" i="3" s="1"/>
  <c r="L27" i="1"/>
  <c r="D28" i="1" s="1"/>
  <c r="G149" i="2" l="1"/>
  <c r="H149" i="2" s="1"/>
  <c r="I149" i="2" s="1"/>
  <c r="J149" i="2" s="1"/>
  <c r="C150" i="2" s="1"/>
  <c r="F152" i="2"/>
  <c r="G40" i="3"/>
  <c r="H40" i="3" s="1"/>
  <c r="I40" i="3" s="1"/>
  <c r="J40" i="3" s="1"/>
  <c r="C41" i="3" s="1"/>
  <c r="I28" i="1"/>
  <c r="J28" i="1" s="1"/>
  <c r="K28" i="1" s="1"/>
  <c r="G150" i="2" l="1"/>
  <c r="H150" i="2" s="1"/>
  <c r="I150" i="2" s="1"/>
  <c r="J150" i="2" s="1"/>
  <c r="C151" i="2" s="1"/>
  <c r="F153" i="2"/>
  <c r="G41" i="3"/>
  <c r="H41" i="3" s="1"/>
  <c r="I41" i="3" s="1"/>
  <c r="J41" i="3" s="1"/>
  <c r="C42" i="3" s="1"/>
  <c r="L28" i="1"/>
  <c r="D29" i="1" s="1"/>
  <c r="G151" i="2" l="1"/>
  <c r="H151" i="2" s="1"/>
  <c r="I151" i="2" s="1"/>
  <c r="J151" i="2" s="1"/>
  <c r="C152" i="2" s="1"/>
  <c r="F154" i="2"/>
  <c r="G42" i="3"/>
  <c r="H42" i="3" s="1"/>
  <c r="I42" i="3" s="1"/>
  <c r="J42" i="3" s="1"/>
  <c r="C43" i="3" s="1"/>
  <c r="I29" i="1"/>
  <c r="J29" i="1" s="1"/>
  <c r="K29" i="1" s="1"/>
  <c r="G152" i="2" l="1"/>
  <c r="H152" i="2" s="1"/>
  <c r="I152" i="2" s="1"/>
  <c r="J152" i="2" s="1"/>
  <c r="C153" i="2" s="1"/>
  <c r="F155" i="2"/>
  <c r="G43" i="3"/>
  <c r="H43" i="3" s="1"/>
  <c r="I43" i="3" s="1"/>
  <c r="J43" i="3" s="1"/>
  <c r="C44" i="3" s="1"/>
  <c r="L29" i="1"/>
  <c r="D30" i="1" s="1"/>
  <c r="G153" i="2" l="1"/>
  <c r="H153" i="2" s="1"/>
  <c r="I153" i="2" s="1"/>
  <c r="J153" i="2" s="1"/>
  <c r="C154" i="2" s="1"/>
  <c r="F156" i="2"/>
  <c r="G44" i="3"/>
  <c r="H44" i="3" s="1"/>
  <c r="I44" i="3" s="1"/>
  <c r="J44" i="3" s="1"/>
  <c r="C45" i="3" s="1"/>
  <c r="I30" i="1"/>
  <c r="J30" i="1" s="1"/>
  <c r="K30" i="1" s="1"/>
  <c r="G154" i="2" l="1"/>
  <c r="H154" i="2" s="1"/>
  <c r="I154" i="2" s="1"/>
  <c r="J154" i="2" s="1"/>
  <c r="C155" i="2" s="1"/>
  <c r="F157" i="2"/>
  <c r="G45" i="3"/>
  <c r="H45" i="3" s="1"/>
  <c r="I45" i="3" s="1"/>
  <c r="J45" i="3" s="1"/>
  <c r="C46" i="3" s="1"/>
  <c r="L30" i="1"/>
  <c r="D31" i="1" s="1"/>
  <c r="G155" i="2" l="1"/>
  <c r="H155" i="2" s="1"/>
  <c r="I155" i="2" s="1"/>
  <c r="J155" i="2" s="1"/>
  <c r="C156" i="2" s="1"/>
  <c r="F158" i="2"/>
  <c r="G46" i="3"/>
  <c r="H46" i="3" s="1"/>
  <c r="I46" i="3" s="1"/>
  <c r="J46" i="3" s="1"/>
  <c r="C47" i="3" s="1"/>
  <c r="I31" i="1"/>
  <c r="J31" i="1" s="1"/>
  <c r="K31" i="1" s="1"/>
  <c r="G156" i="2" l="1"/>
  <c r="H156" i="2" s="1"/>
  <c r="I156" i="2" s="1"/>
  <c r="J156" i="2" s="1"/>
  <c r="C157" i="2" s="1"/>
  <c r="F159" i="2"/>
  <c r="G47" i="3"/>
  <c r="H47" i="3" s="1"/>
  <c r="I47" i="3" s="1"/>
  <c r="J47" i="3" s="1"/>
  <c r="C48" i="3" s="1"/>
  <c r="L31" i="1"/>
  <c r="D32" i="1" s="1"/>
  <c r="G157" i="2" l="1"/>
  <c r="H157" i="2" s="1"/>
  <c r="I157" i="2" s="1"/>
  <c r="J157" i="2" s="1"/>
  <c r="C158" i="2" s="1"/>
  <c r="F160" i="2"/>
  <c r="G48" i="3"/>
  <c r="H48" i="3" s="1"/>
  <c r="I48" i="3" s="1"/>
  <c r="J48" i="3" s="1"/>
  <c r="C49" i="3" s="1"/>
  <c r="I32" i="1"/>
  <c r="J32" i="1" s="1"/>
  <c r="K32" i="1" s="1"/>
  <c r="G158" i="2" l="1"/>
  <c r="H158" i="2" s="1"/>
  <c r="I158" i="2" s="1"/>
  <c r="J158" i="2" s="1"/>
  <c r="C159" i="2" s="1"/>
  <c r="F161" i="2"/>
  <c r="G49" i="3"/>
  <c r="H49" i="3" s="1"/>
  <c r="L32" i="1"/>
  <c r="D33" i="1" s="1"/>
  <c r="G159" i="2" l="1"/>
  <c r="H159" i="2" s="1"/>
  <c r="I159" i="2" s="1"/>
  <c r="J159" i="2" s="1"/>
  <c r="C160" i="2" s="1"/>
  <c r="F162" i="2"/>
  <c r="I49" i="3"/>
  <c r="H50" i="3"/>
  <c r="I33" i="1"/>
  <c r="J33" i="1" s="1"/>
  <c r="K33" i="1" s="1"/>
  <c r="G160" i="2" l="1"/>
  <c r="H160" i="2" s="1"/>
  <c r="I160" i="2" s="1"/>
  <c r="J160" i="2" s="1"/>
  <c r="C161" i="2" s="1"/>
  <c r="F163" i="2"/>
  <c r="I50" i="3"/>
  <c r="J49" i="3"/>
  <c r="L33" i="1"/>
  <c r="D34" i="1" s="1"/>
  <c r="G161" i="2" l="1"/>
  <c r="H161" i="2" s="1"/>
  <c r="I161" i="2" s="1"/>
  <c r="J161" i="2" s="1"/>
  <c r="C162" i="2" s="1"/>
  <c r="F164" i="2"/>
  <c r="I34" i="1"/>
  <c r="J34" i="1" s="1"/>
  <c r="K34" i="1" s="1"/>
  <c r="G162" i="2" l="1"/>
  <c r="H162" i="2" s="1"/>
  <c r="I162" i="2" s="1"/>
  <c r="J162" i="2" s="1"/>
  <c r="C163" i="2" s="1"/>
  <c r="F165" i="2"/>
  <c r="L34" i="1"/>
  <c r="D35" i="1" s="1"/>
  <c r="G163" i="2" l="1"/>
  <c r="H163" i="2" s="1"/>
  <c r="I163" i="2" s="1"/>
  <c r="J163" i="2" s="1"/>
  <c r="C164" i="2" s="1"/>
  <c r="F166" i="2"/>
  <c r="I35" i="1"/>
  <c r="J35" i="1" s="1"/>
  <c r="K35" i="1" s="1"/>
  <c r="G164" i="2" l="1"/>
  <c r="H164" i="2" s="1"/>
  <c r="I164" i="2" s="1"/>
  <c r="J164" i="2" s="1"/>
  <c r="C165" i="2" s="1"/>
  <c r="F167" i="2"/>
  <c r="L35" i="1"/>
  <c r="D36" i="1" s="1"/>
  <c r="G165" i="2" l="1"/>
  <c r="H165" i="2" s="1"/>
  <c r="I165" i="2" s="1"/>
  <c r="J165" i="2" s="1"/>
  <c r="C166" i="2" s="1"/>
  <c r="F168" i="2"/>
  <c r="I36" i="1"/>
  <c r="J36" i="1" s="1"/>
  <c r="K36" i="1" s="1"/>
  <c r="G166" i="2" l="1"/>
  <c r="H166" i="2" s="1"/>
  <c r="I166" i="2" s="1"/>
  <c r="J166" i="2" s="1"/>
  <c r="C167" i="2" s="1"/>
  <c r="F169" i="2"/>
  <c r="L36" i="1"/>
  <c r="D37" i="1" s="1"/>
  <c r="G167" i="2" l="1"/>
  <c r="H167" i="2" s="1"/>
  <c r="I167" i="2" s="1"/>
  <c r="J167" i="2" s="1"/>
  <c r="C168" i="2" s="1"/>
  <c r="F170" i="2"/>
  <c r="I37" i="1"/>
  <c r="J37" i="1" s="1"/>
  <c r="K37" i="1" s="1"/>
  <c r="G168" i="2" l="1"/>
  <c r="H168" i="2" s="1"/>
  <c r="I168" i="2" s="1"/>
  <c r="J168" i="2" s="1"/>
  <c r="C169" i="2" s="1"/>
  <c r="F171" i="2"/>
  <c r="L37" i="1"/>
  <c r="D38" i="1" s="1"/>
  <c r="G169" i="2" l="1"/>
  <c r="H169" i="2" s="1"/>
  <c r="I169" i="2" s="1"/>
  <c r="J169" i="2" s="1"/>
  <c r="C170" i="2" s="1"/>
  <c r="F172" i="2"/>
  <c r="I38" i="1"/>
  <c r="J38" i="1" s="1"/>
  <c r="K38" i="1" s="1"/>
  <c r="G170" i="2" l="1"/>
  <c r="H170" i="2" s="1"/>
  <c r="I170" i="2" s="1"/>
  <c r="J170" i="2" s="1"/>
  <c r="C171" i="2" s="1"/>
  <c r="F173" i="2"/>
  <c r="L38" i="1"/>
  <c r="D39" i="1" s="1"/>
  <c r="G171" i="2" l="1"/>
  <c r="H171" i="2" s="1"/>
  <c r="I171" i="2" s="1"/>
  <c r="J171" i="2" s="1"/>
  <c r="C172" i="2" s="1"/>
  <c r="F174" i="2"/>
  <c r="I39" i="1"/>
  <c r="J39" i="1" s="1"/>
  <c r="K39" i="1" s="1"/>
  <c r="G172" i="2" l="1"/>
  <c r="H172" i="2" s="1"/>
  <c r="I172" i="2" s="1"/>
  <c r="J172" i="2" s="1"/>
  <c r="C173" i="2" s="1"/>
  <c r="F175" i="2"/>
  <c r="L39" i="1"/>
  <c r="D40" i="1" s="1"/>
  <c r="J173" i="2" l="1"/>
  <c r="C174" i="2" s="1"/>
  <c r="G173" i="2"/>
  <c r="H173" i="2" s="1"/>
  <c r="I173" i="2" s="1"/>
  <c r="F176" i="2"/>
  <c r="I40" i="1"/>
  <c r="J40" i="1" s="1"/>
  <c r="K40" i="1" s="1"/>
  <c r="F177" i="2" l="1"/>
  <c r="G174" i="2"/>
  <c r="H174" i="2" s="1"/>
  <c r="I174" i="2" s="1"/>
  <c r="J174" i="2" s="1"/>
  <c r="C175" i="2" s="1"/>
  <c r="L40" i="1"/>
  <c r="D41" i="1" s="1"/>
  <c r="G175" i="2" l="1"/>
  <c r="H175" i="2" s="1"/>
  <c r="I175" i="2" s="1"/>
  <c r="J175" i="2" s="1"/>
  <c r="C176" i="2" s="1"/>
  <c r="F178" i="2"/>
  <c r="I41" i="1"/>
  <c r="J41" i="1" s="1"/>
  <c r="K41" i="1" s="1"/>
  <c r="G176" i="2" l="1"/>
  <c r="H176" i="2" s="1"/>
  <c r="I176" i="2" s="1"/>
  <c r="J176" i="2" s="1"/>
  <c r="C177" i="2" s="1"/>
  <c r="F179" i="2"/>
  <c r="L41" i="1"/>
  <c r="D42" i="1" s="1"/>
  <c r="G177" i="2" l="1"/>
  <c r="H177" i="2" s="1"/>
  <c r="I177" i="2" s="1"/>
  <c r="J177" i="2" s="1"/>
  <c r="C178" i="2" s="1"/>
  <c r="F180" i="2"/>
  <c r="I42" i="1"/>
  <c r="J42" i="1" s="1"/>
  <c r="K42" i="1" s="1"/>
  <c r="G178" i="2" l="1"/>
  <c r="H178" i="2" s="1"/>
  <c r="I178" i="2" s="1"/>
  <c r="J178" i="2" s="1"/>
  <c r="C179" i="2" s="1"/>
  <c r="F181" i="2"/>
  <c r="L42" i="1"/>
  <c r="D43" i="1" s="1"/>
  <c r="G179" i="2" l="1"/>
  <c r="H179" i="2" s="1"/>
  <c r="I179" i="2" s="1"/>
  <c r="J179" i="2" s="1"/>
  <c r="C180" i="2" s="1"/>
  <c r="I43" i="1"/>
  <c r="J43" i="1" s="1"/>
  <c r="K43" i="1" s="1"/>
  <c r="G180" i="2" l="1"/>
  <c r="H180" i="2" s="1"/>
  <c r="I180" i="2" s="1"/>
  <c r="J180" i="2" s="1"/>
  <c r="C181" i="2" s="1"/>
  <c r="L43" i="1"/>
  <c r="D44" i="1" s="1"/>
  <c r="G181" i="2" l="1"/>
  <c r="H181" i="2" s="1"/>
  <c r="I181" i="2" s="1"/>
  <c r="J181" i="2" s="1"/>
  <c r="I44" i="1"/>
  <c r="J44" i="1" s="1"/>
  <c r="K44" i="1" s="1"/>
  <c r="L44" i="1" l="1"/>
  <c r="D45" i="1" s="1"/>
  <c r="I45" i="1" l="1"/>
  <c r="J45" i="1" s="1"/>
  <c r="K45" i="1" s="1"/>
  <c r="L45" i="1" l="1"/>
  <c r="D46" i="1" s="1"/>
  <c r="I46" i="1" l="1"/>
  <c r="J46" i="1" s="1"/>
  <c r="K46" i="1" s="1"/>
  <c r="L46" i="1" l="1"/>
  <c r="D47" i="1" s="1"/>
  <c r="I47" i="1" l="1"/>
  <c r="J47" i="1" s="1"/>
  <c r="K47" i="1" s="1"/>
  <c r="L47" i="1" l="1"/>
  <c r="D48" i="1" s="1"/>
  <c r="I48" i="1" l="1"/>
  <c r="J48" i="1" s="1"/>
  <c r="K48" i="1" s="1"/>
  <c r="L48" i="1" l="1"/>
  <c r="D49" i="1" s="1"/>
  <c r="I49" i="1" l="1"/>
  <c r="J49" i="1" s="1"/>
  <c r="K49" i="1" s="1"/>
  <c r="K50" i="1" s="1"/>
  <c r="J50" i="1" l="1"/>
  <c r="L49" i="1"/>
</calcChain>
</file>

<file path=xl/sharedStrings.xml><?xml version="1.0" encoding="utf-8"?>
<sst xmlns="http://schemas.openxmlformats.org/spreadsheetml/2006/main" count="348" uniqueCount="21">
  <si>
    <t>Energy</t>
  </si>
  <si>
    <t>Layer</t>
  </si>
  <si>
    <t>Lead tung</t>
  </si>
  <si>
    <t>Thickness</t>
  </si>
  <si>
    <t>Radiation length</t>
  </si>
  <si>
    <t>Total radiation length</t>
  </si>
  <si>
    <t>a</t>
  </si>
  <si>
    <t>Critical Energy</t>
  </si>
  <si>
    <t>Energy Deposited</t>
  </si>
  <si>
    <t>Uranium</t>
  </si>
  <si>
    <t>Energy Out</t>
  </si>
  <si>
    <t>Resulting Energy</t>
  </si>
  <si>
    <t>Total:</t>
  </si>
  <si>
    <t>a value</t>
  </si>
  <si>
    <t>Energy Left</t>
  </si>
  <si>
    <t>Tungsten</t>
  </si>
  <si>
    <t>Material</t>
  </si>
  <si>
    <t>Energy Loss</t>
  </si>
  <si>
    <t>% Deposited</t>
  </si>
  <si>
    <t>Polyvinyltoluene (Plastic)</t>
  </si>
  <si>
    <t>Interaction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</si>
</sst>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F500-33F0-4AAF-BEDA-1DE8C6304375}">
  <dimension ref="C1:L50"/>
  <sheetViews>
    <sheetView topLeftCell="I8" zoomScale="85" zoomScaleNormal="85" workbookViewId="0">
      <selection activeCell="C1" sqref="C1:L50"/>
    </sheetView>
  </sheetViews>
  <sheetFormatPr defaultRowHeight="15" x14ac:dyDescent="0.25"/>
  <cols>
    <col min="3" max="3" width="14.42578125" customWidth="1"/>
    <col min="4" max="4" width="13.7109375" customWidth="1"/>
    <col min="7" max="7" width="16.5703125" customWidth="1"/>
    <col min="8" max="8" width="19.7109375" customWidth="1"/>
    <col min="10" max="10" width="16.28515625" customWidth="1"/>
    <col min="11" max="11" width="12.85546875" customWidth="1"/>
    <col min="12" max="12" width="17.140625" customWidth="1"/>
  </cols>
  <sheetData>
    <row r="1" spans="3:12" x14ac:dyDescent="0.25">
      <c r="C1" t="s">
        <v>7</v>
      </c>
      <c r="D1" t="s">
        <v>0</v>
      </c>
      <c r="E1" s="1" t="s">
        <v>1</v>
      </c>
      <c r="F1" t="s">
        <v>3</v>
      </c>
      <c r="G1" t="s">
        <v>4</v>
      </c>
      <c r="H1" t="s">
        <v>5</v>
      </c>
      <c r="I1" s="1" t="s">
        <v>6</v>
      </c>
      <c r="J1" t="s">
        <v>8</v>
      </c>
      <c r="K1" t="s">
        <v>10</v>
      </c>
      <c r="L1" t="s">
        <v>11</v>
      </c>
    </row>
    <row r="2" spans="3:12" x14ac:dyDescent="0.25">
      <c r="C2">
        <v>9.64</v>
      </c>
      <c r="D2" s="1">
        <v>35000000</v>
      </c>
      <c r="E2" t="s">
        <v>2</v>
      </c>
      <c r="F2">
        <v>0.5</v>
      </c>
      <c r="G2" s="1">
        <v>0.89</v>
      </c>
      <c r="H2">
        <f>F2/G2</f>
        <v>0.5617977528089888</v>
      </c>
      <c r="I2">
        <f>0.5*(LN(D2/C2)-0.5)</f>
        <v>7.3024687554156165</v>
      </c>
      <c r="J2">
        <f>(POWER(H2,I2)*EXP(-H2/2))/(POWER(2,I2+1)*_xlfn.GAMMA(I2+1))</f>
        <v>3.8037712086986466E-9</v>
      </c>
      <c r="K2">
        <f>D2*J2</f>
        <v>0.13313199230445263</v>
      </c>
      <c r="L2">
        <f>D2-K2</f>
        <v>34999999.866868004</v>
      </c>
    </row>
    <row r="3" spans="3:12" x14ac:dyDescent="0.25">
      <c r="C3">
        <v>9.64</v>
      </c>
      <c r="D3" s="1">
        <f>L2</f>
        <v>34999999.866868004</v>
      </c>
      <c r="E3" t="s">
        <v>2</v>
      </c>
      <c r="F3">
        <v>0.5</v>
      </c>
      <c r="G3" s="1">
        <v>0.89</v>
      </c>
      <c r="H3">
        <f>F3/G3+H2</f>
        <v>1.1235955056179776</v>
      </c>
      <c r="I3">
        <f t="shared" ref="I3:I49" si="0">0.5*(LN(D3/C3)-0.5)</f>
        <v>7.3024687535137307</v>
      </c>
      <c r="J3">
        <f t="shared" ref="J3:J49" si="1">(POWER(H3,I3)*EXP(-H3/2))/(POWER(2,I3+1)*_xlfn.GAMMA(I3+1))</f>
        <v>4.5340227490320242E-7</v>
      </c>
      <c r="K3">
        <f t="shared" ref="K3:K45" si="2">$D$2*J3</f>
        <v>15.869079621612084</v>
      </c>
      <c r="L3">
        <f t="shared" ref="L3:L49" si="3">D3-K3</f>
        <v>34999983.997788385</v>
      </c>
    </row>
    <row r="4" spans="3:12" x14ac:dyDescent="0.25">
      <c r="C4">
        <v>9.64</v>
      </c>
      <c r="D4" s="1">
        <f t="shared" ref="D4:D49" si="4">L3</f>
        <v>34999983.997788385</v>
      </c>
      <c r="E4" t="s">
        <v>2</v>
      </c>
      <c r="F4">
        <v>0.5</v>
      </c>
      <c r="G4" s="1">
        <v>0.89</v>
      </c>
      <c r="H4">
        <f t="shared" ref="H4:H49" si="5">F4/G4+H3</f>
        <v>1.6853932584269664</v>
      </c>
      <c r="I4">
        <f t="shared" si="0"/>
        <v>7.3024685268125413</v>
      </c>
      <c r="J4">
        <f t="shared" si="1"/>
        <v>6.6129006649609569E-6</v>
      </c>
      <c r="K4">
        <f t="shared" si="2"/>
        <v>231.45152327363348</v>
      </c>
      <c r="L4">
        <f t="shared" si="3"/>
        <v>34999752.54626511</v>
      </c>
    </row>
    <row r="5" spans="3:12" x14ac:dyDescent="0.25">
      <c r="C5">
        <v>9.64</v>
      </c>
      <c r="D5" s="1">
        <f t="shared" si="4"/>
        <v>34999752.54626511</v>
      </c>
      <c r="E5" t="s">
        <v>2</v>
      </c>
      <c r="F5">
        <v>0.5</v>
      </c>
      <c r="G5" s="1">
        <v>0.89</v>
      </c>
      <c r="H5">
        <f t="shared" si="5"/>
        <v>2.2471910112359552</v>
      </c>
      <c r="I5">
        <f t="shared" si="0"/>
        <v>7.3024652203497649</v>
      </c>
      <c r="J5">
        <f t="shared" si="1"/>
        <v>4.0809675613192353E-5</v>
      </c>
      <c r="K5">
        <f t="shared" si="2"/>
        <v>1428.3386464617324</v>
      </c>
      <c r="L5">
        <f t="shared" si="3"/>
        <v>34998324.207618646</v>
      </c>
    </row>
    <row r="6" spans="3:12" x14ac:dyDescent="0.25">
      <c r="C6">
        <v>9.64</v>
      </c>
      <c r="D6" s="1">
        <f t="shared" si="4"/>
        <v>34998324.207618646</v>
      </c>
      <c r="E6" t="s">
        <v>2</v>
      </c>
      <c r="F6">
        <v>0.5</v>
      </c>
      <c r="G6" s="1">
        <v>0.89</v>
      </c>
      <c r="H6">
        <f t="shared" si="5"/>
        <v>2.808988764044944</v>
      </c>
      <c r="I6">
        <f t="shared" si="0"/>
        <v>7.3024448149513175</v>
      </c>
      <c r="J6">
        <f t="shared" si="1"/>
        <v>1.5720541896665558E-4</v>
      </c>
      <c r="K6">
        <f t="shared" si="2"/>
        <v>5502.1896638329454</v>
      </c>
      <c r="L6">
        <f t="shared" si="3"/>
        <v>34992822.017954811</v>
      </c>
    </row>
    <row r="7" spans="3:12" x14ac:dyDescent="0.25">
      <c r="C7">
        <v>9.64</v>
      </c>
      <c r="D7" s="1">
        <f t="shared" si="4"/>
        <v>34992822.017954811</v>
      </c>
      <c r="E7" t="s">
        <v>2</v>
      </c>
      <c r="F7">
        <v>0.5</v>
      </c>
      <c r="G7" s="1">
        <v>0.89</v>
      </c>
      <c r="H7">
        <f t="shared" si="5"/>
        <v>3.3707865168539328</v>
      </c>
      <c r="I7">
        <f t="shared" si="0"/>
        <v>7.3023662022985487</v>
      </c>
      <c r="J7">
        <f t="shared" si="1"/>
        <v>4.4951449671416479E-4</v>
      </c>
      <c r="K7">
        <f t="shared" si="2"/>
        <v>15733.007384995768</v>
      </c>
      <c r="L7">
        <f t="shared" si="3"/>
        <v>34977089.010569818</v>
      </c>
    </row>
    <row r="8" spans="3:12" x14ac:dyDescent="0.25">
      <c r="C8">
        <v>6.65</v>
      </c>
      <c r="D8" s="1">
        <f t="shared" si="4"/>
        <v>34977089.010569818</v>
      </c>
      <c r="E8" t="s">
        <v>9</v>
      </c>
      <c r="F8">
        <v>0.5</v>
      </c>
      <c r="G8" s="1">
        <v>0.3</v>
      </c>
      <c r="H8">
        <f t="shared" si="5"/>
        <v>5.0374531835205998</v>
      </c>
      <c r="I8">
        <f t="shared" si="0"/>
        <v>7.4877934753719968</v>
      </c>
      <c r="J8">
        <f t="shared" si="1"/>
        <v>2.970917129128618E-3</v>
      </c>
      <c r="K8">
        <f t="shared" si="2"/>
        <v>103982.09951950163</v>
      </c>
      <c r="L8">
        <f t="shared" si="3"/>
        <v>34873106.91105032</v>
      </c>
    </row>
    <row r="9" spans="3:12" x14ac:dyDescent="0.25">
      <c r="C9">
        <v>6.65</v>
      </c>
      <c r="D9" s="1">
        <f t="shared" si="4"/>
        <v>34873106.91105032</v>
      </c>
      <c r="E9" t="s">
        <v>9</v>
      </c>
      <c r="F9">
        <v>0.5</v>
      </c>
      <c r="G9" s="1">
        <v>0.3</v>
      </c>
      <c r="H9">
        <f t="shared" si="5"/>
        <v>6.7041198501872667</v>
      </c>
      <c r="I9">
        <f t="shared" si="0"/>
        <v>7.4863048299221466</v>
      </c>
      <c r="J9">
        <f t="shared" si="1"/>
        <v>1.0990200505429336E-2</v>
      </c>
      <c r="K9">
        <f t="shared" si="2"/>
        <v>384657.01769002678</v>
      </c>
      <c r="L9">
        <f t="shared" si="3"/>
        <v>34488449.893360294</v>
      </c>
    </row>
    <row r="10" spans="3:12" x14ac:dyDescent="0.25">
      <c r="C10">
        <v>9.64</v>
      </c>
      <c r="D10" s="1">
        <f t="shared" si="4"/>
        <v>34488449.893360294</v>
      </c>
      <c r="E10" t="s">
        <v>2</v>
      </c>
      <c r="F10">
        <v>0.5</v>
      </c>
      <c r="G10" s="1">
        <v>0.89</v>
      </c>
      <c r="H10">
        <f t="shared" si="5"/>
        <v>7.2659176029962556</v>
      </c>
      <c r="I10">
        <f t="shared" si="0"/>
        <v>7.2951069658130949</v>
      </c>
      <c r="J10">
        <f t="shared" si="1"/>
        <v>1.758364135623898E-2</v>
      </c>
      <c r="K10">
        <f t="shared" si="2"/>
        <v>615427.44746836426</v>
      </c>
      <c r="L10">
        <f t="shared" si="3"/>
        <v>33873022.445891932</v>
      </c>
    </row>
    <row r="11" spans="3:12" x14ac:dyDescent="0.25">
      <c r="C11">
        <v>9.64</v>
      </c>
      <c r="D11" s="1">
        <f t="shared" si="4"/>
        <v>33873022.445891932</v>
      </c>
      <c r="E11" t="s">
        <v>2</v>
      </c>
      <c r="F11">
        <v>0.5</v>
      </c>
      <c r="G11" s="1">
        <v>0.89</v>
      </c>
      <c r="H11">
        <f t="shared" si="5"/>
        <v>7.8277153558052444</v>
      </c>
      <c r="I11">
        <f t="shared" si="0"/>
        <v>7.2861041744282868</v>
      </c>
      <c r="J11">
        <f t="shared" si="1"/>
        <v>2.300208419112423E-2</v>
      </c>
      <c r="K11">
        <f t="shared" si="2"/>
        <v>805072.94668934809</v>
      </c>
      <c r="L11">
        <f t="shared" si="3"/>
        <v>33067949.499202583</v>
      </c>
    </row>
    <row r="12" spans="3:12" x14ac:dyDescent="0.25">
      <c r="C12">
        <v>9.64</v>
      </c>
      <c r="D12" s="1">
        <f t="shared" si="4"/>
        <v>33067949.499202583</v>
      </c>
      <c r="E12" t="s">
        <v>2</v>
      </c>
      <c r="F12">
        <v>0.5</v>
      </c>
      <c r="G12" s="1">
        <v>0.89</v>
      </c>
      <c r="H12">
        <f t="shared" si="5"/>
        <v>8.3895131086142332</v>
      </c>
      <c r="I12">
        <f t="shared" si="0"/>
        <v>7.2740769847754025</v>
      </c>
      <c r="J12">
        <f t="shared" si="1"/>
        <v>2.8995388182849299E-2</v>
      </c>
      <c r="K12">
        <f t="shared" si="2"/>
        <v>1014838.5863997254</v>
      </c>
      <c r="L12">
        <f t="shared" si="3"/>
        <v>32053110.912802856</v>
      </c>
    </row>
    <row r="13" spans="3:12" x14ac:dyDescent="0.25">
      <c r="C13">
        <v>9.64</v>
      </c>
      <c r="D13" s="1">
        <f t="shared" si="4"/>
        <v>32053110.912802856</v>
      </c>
      <c r="E13" t="s">
        <v>2</v>
      </c>
      <c r="F13">
        <v>0.5</v>
      </c>
      <c r="G13" s="1">
        <v>0.89</v>
      </c>
      <c r="H13">
        <f t="shared" si="5"/>
        <v>8.951310861423222</v>
      </c>
      <c r="I13">
        <f t="shared" si="0"/>
        <v>7.258491846180041</v>
      </c>
      <c r="J13">
        <f t="shared" si="1"/>
        <v>3.5386334325453572E-2</v>
      </c>
      <c r="K13">
        <f t="shared" si="2"/>
        <v>1238521.701390875</v>
      </c>
      <c r="L13">
        <f t="shared" si="3"/>
        <v>30814589.211411983</v>
      </c>
    </row>
    <row r="14" spans="3:12" x14ac:dyDescent="0.25">
      <c r="C14">
        <v>9.64</v>
      </c>
      <c r="D14" s="1">
        <f t="shared" si="4"/>
        <v>30814589.211411983</v>
      </c>
      <c r="E14" t="s">
        <v>2</v>
      </c>
      <c r="F14">
        <v>0.5</v>
      </c>
      <c r="G14" s="1">
        <v>0.89</v>
      </c>
      <c r="H14">
        <f t="shared" si="5"/>
        <v>9.5131086142322108</v>
      </c>
      <c r="I14">
        <f t="shared" si="0"/>
        <v>7.2387888514338119</v>
      </c>
      <c r="J14">
        <f t="shared" si="1"/>
        <v>4.1967058593781713E-2</v>
      </c>
      <c r="K14">
        <f t="shared" si="2"/>
        <v>1468847.0507823599</v>
      </c>
      <c r="L14">
        <f t="shared" si="3"/>
        <v>29345742.160629623</v>
      </c>
    </row>
    <row r="15" spans="3:12" x14ac:dyDescent="0.25">
      <c r="C15">
        <v>9.64</v>
      </c>
      <c r="D15" s="1">
        <f t="shared" si="4"/>
        <v>29345742.160629623</v>
      </c>
      <c r="E15" t="s">
        <v>2</v>
      </c>
      <c r="F15">
        <v>0.5</v>
      </c>
      <c r="G15" s="1">
        <v>0.89</v>
      </c>
      <c r="H15">
        <f t="shared" si="5"/>
        <v>10.0749063670412</v>
      </c>
      <c r="I15">
        <f t="shared" si="0"/>
        <v>7.2143684569519975</v>
      </c>
      <c r="J15">
        <f t="shared" si="1"/>
        <v>4.851097712812065E-2</v>
      </c>
      <c r="K15">
        <f t="shared" si="2"/>
        <v>1697884.1994842228</v>
      </c>
      <c r="L15">
        <f t="shared" si="3"/>
        <v>27647857.961145401</v>
      </c>
    </row>
    <row r="16" spans="3:12" x14ac:dyDescent="0.25">
      <c r="C16">
        <v>6.65</v>
      </c>
      <c r="D16" s="1">
        <f t="shared" si="4"/>
        <v>27647857.961145401</v>
      </c>
      <c r="E16" t="s">
        <v>9</v>
      </c>
      <c r="F16">
        <v>0.5</v>
      </c>
      <c r="G16" s="1">
        <v>0.3</v>
      </c>
      <c r="H16">
        <f t="shared" si="5"/>
        <v>11.741573033707866</v>
      </c>
      <c r="I16">
        <f t="shared" si="0"/>
        <v>7.3702209792521289</v>
      </c>
      <c r="J16">
        <f t="shared" si="1"/>
        <v>6.0864901286787731E-2</v>
      </c>
      <c r="K16">
        <f t="shared" si="2"/>
        <v>2130271.5450375704</v>
      </c>
      <c r="L16">
        <f t="shared" si="3"/>
        <v>25517586.41610783</v>
      </c>
    </row>
    <row r="17" spans="3:12" x14ac:dyDescent="0.25">
      <c r="C17">
        <v>6.65</v>
      </c>
      <c r="D17" s="1">
        <f t="shared" si="4"/>
        <v>25517586.41610783</v>
      </c>
      <c r="E17" t="s">
        <v>9</v>
      </c>
      <c r="F17">
        <v>0.5</v>
      </c>
      <c r="G17" s="1">
        <v>0.3</v>
      </c>
      <c r="H17">
        <f t="shared" si="5"/>
        <v>13.408239700374532</v>
      </c>
      <c r="I17">
        <f t="shared" si="0"/>
        <v>7.3301307905645849</v>
      </c>
      <c r="J17">
        <f t="shared" si="1"/>
        <v>7.0806674328418209E-2</v>
      </c>
      <c r="K17">
        <f t="shared" si="2"/>
        <v>2478233.6014946373</v>
      </c>
      <c r="L17">
        <f t="shared" si="3"/>
        <v>23039352.814613193</v>
      </c>
    </row>
    <row r="18" spans="3:12" x14ac:dyDescent="0.25">
      <c r="C18">
        <v>9.64</v>
      </c>
      <c r="D18" s="1">
        <f t="shared" si="4"/>
        <v>23039352.814613193</v>
      </c>
      <c r="E18" t="s">
        <v>2</v>
      </c>
      <c r="F18">
        <v>0.5</v>
      </c>
      <c r="G18" s="1">
        <v>0.89</v>
      </c>
      <c r="H18">
        <f t="shared" si="5"/>
        <v>13.970037453183521</v>
      </c>
      <c r="I18">
        <f t="shared" si="0"/>
        <v>7.0933965975657323</v>
      </c>
      <c r="J18">
        <f t="shared" si="1"/>
        <v>7.3958984362314767E-2</v>
      </c>
      <c r="K18">
        <f t="shared" si="2"/>
        <v>2588564.4526810166</v>
      </c>
      <c r="L18">
        <f t="shared" si="3"/>
        <v>20450788.361932177</v>
      </c>
    </row>
    <row r="19" spans="3:12" x14ac:dyDescent="0.25">
      <c r="C19">
        <v>9.64</v>
      </c>
      <c r="D19" s="1">
        <f t="shared" si="4"/>
        <v>20450788.361932177</v>
      </c>
      <c r="E19" t="s">
        <v>2</v>
      </c>
      <c r="F19">
        <v>0.5</v>
      </c>
      <c r="G19" s="1">
        <v>0.89</v>
      </c>
      <c r="H19">
        <f t="shared" si="5"/>
        <v>14.531835205992509</v>
      </c>
      <c r="I19">
        <f t="shared" si="0"/>
        <v>7.0338054408966508</v>
      </c>
      <c r="J19">
        <f t="shared" si="1"/>
        <v>7.4048364010343939E-2</v>
      </c>
      <c r="K19">
        <f t="shared" si="2"/>
        <v>2591692.7403620379</v>
      </c>
      <c r="L19">
        <f t="shared" si="3"/>
        <v>17859095.62157014</v>
      </c>
    </row>
    <row r="20" spans="3:12" x14ac:dyDescent="0.25">
      <c r="C20">
        <v>9.64</v>
      </c>
      <c r="D20" s="1">
        <f t="shared" si="4"/>
        <v>17859095.62157014</v>
      </c>
      <c r="E20" t="s">
        <v>2</v>
      </c>
      <c r="F20">
        <v>0.5</v>
      </c>
      <c r="G20" s="1">
        <v>0.89</v>
      </c>
      <c r="H20">
        <f t="shared" si="5"/>
        <v>15.093632958801498</v>
      </c>
      <c r="I20">
        <f t="shared" si="0"/>
        <v>6.9660511932089673</v>
      </c>
      <c r="J20">
        <f t="shared" si="1"/>
        <v>7.2984562470003761E-2</v>
      </c>
      <c r="K20">
        <f t="shared" si="2"/>
        <v>2554459.6864501317</v>
      </c>
      <c r="L20">
        <f t="shared" si="3"/>
        <v>15304635.935120009</v>
      </c>
    </row>
    <row r="21" spans="3:12" x14ac:dyDescent="0.25">
      <c r="C21">
        <v>9.64</v>
      </c>
      <c r="D21" s="1">
        <f t="shared" si="4"/>
        <v>15304635.935120009</v>
      </c>
      <c r="E21" t="s">
        <v>2</v>
      </c>
      <c r="F21">
        <v>0.5</v>
      </c>
      <c r="G21" s="1">
        <v>0.89</v>
      </c>
      <c r="H21">
        <f t="shared" si="5"/>
        <v>15.655430711610487</v>
      </c>
      <c r="I21">
        <f t="shared" si="0"/>
        <v>6.8888726170698549</v>
      </c>
      <c r="J21">
        <f t="shared" si="1"/>
        <v>7.0804987200672034E-2</v>
      </c>
      <c r="K21">
        <f t="shared" si="2"/>
        <v>2478174.5520235212</v>
      </c>
      <c r="L21">
        <f t="shared" si="3"/>
        <v>12826461.383096488</v>
      </c>
    </row>
    <row r="22" spans="3:12" x14ac:dyDescent="0.25">
      <c r="C22">
        <v>9.64</v>
      </c>
      <c r="D22" s="1">
        <f t="shared" si="4"/>
        <v>12826461.383096488</v>
      </c>
      <c r="E22" t="s">
        <v>2</v>
      </c>
      <c r="F22">
        <v>0.5</v>
      </c>
      <c r="G22" s="1">
        <v>0.89</v>
      </c>
      <c r="H22">
        <f t="shared" si="5"/>
        <v>16.217228464419478</v>
      </c>
      <c r="I22">
        <f t="shared" si="0"/>
        <v>6.8005498909533992</v>
      </c>
      <c r="J22">
        <f t="shared" si="1"/>
        <v>6.7574786909929352E-2</v>
      </c>
      <c r="K22">
        <f t="shared" si="2"/>
        <v>2365117.5418475275</v>
      </c>
      <c r="L22">
        <f t="shared" si="3"/>
        <v>10461343.841248961</v>
      </c>
    </row>
    <row r="23" spans="3:12" x14ac:dyDescent="0.25">
      <c r="C23">
        <v>9.64</v>
      </c>
      <c r="D23" s="1">
        <f t="shared" si="4"/>
        <v>10461343.841248961</v>
      </c>
      <c r="E23" t="s">
        <v>2</v>
      </c>
      <c r="F23">
        <v>0.5</v>
      </c>
      <c r="G23" s="1">
        <v>0.89</v>
      </c>
      <c r="H23">
        <f t="shared" si="5"/>
        <v>16.779026217228466</v>
      </c>
      <c r="I23">
        <f t="shared" si="0"/>
        <v>6.6986381870166323</v>
      </c>
      <c r="J23">
        <f t="shared" si="1"/>
        <v>6.3378775358490791E-2</v>
      </c>
      <c r="K23">
        <f t="shared" si="2"/>
        <v>2218257.1375471777</v>
      </c>
      <c r="L23">
        <f t="shared" si="3"/>
        <v>8243086.703701783</v>
      </c>
    </row>
    <row r="24" spans="3:12" x14ac:dyDescent="0.25">
      <c r="C24">
        <v>6.65</v>
      </c>
      <c r="D24" s="1">
        <f t="shared" si="4"/>
        <v>8243086.703701783</v>
      </c>
      <c r="E24" t="s">
        <v>9</v>
      </c>
      <c r="F24">
        <v>0.5</v>
      </c>
      <c r="G24" s="1">
        <v>0.3</v>
      </c>
      <c r="H24">
        <f t="shared" si="5"/>
        <v>18.445692883895134</v>
      </c>
      <c r="I24">
        <f t="shared" si="0"/>
        <v>6.7651342885183254</v>
      </c>
      <c r="J24">
        <f t="shared" si="1"/>
        <v>5.2787961907662141E-2</v>
      </c>
      <c r="K24">
        <f t="shared" si="2"/>
        <v>1847578.6667681749</v>
      </c>
      <c r="L24">
        <f t="shared" si="3"/>
        <v>6395508.0369336084</v>
      </c>
    </row>
    <row r="25" spans="3:12" x14ac:dyDescent="0.25">
      <c r="C25">
        <v>6.65</v>
      </c>
      <c r="D25" s="1">
        <f t="shared" si="4"/>
        <v>6395508.0369336084</v>
      </c>
      <c r="E25" t="s">
        <v>9</v>
      </c>
      <c r="F25">
        <v>0.5</v>
      </c>
      <c r="G25" s="1">
        <v>0.3</v>
      </c>
      <c r="H25">
        <f t="shared" si="5"/>
        <v>20.112359550561802</v>
      </c>
      <c r="I25">
        <f t="shared" si="0"/>
        <v>6.638244789003747</v>
      </c>
      <c r="J25">
        <f t="shared" si="1"/>
        <v>3.9483927534281107E-2</v>
      </c>
      <c r="K25">
        <f t="shared" si="2"/>
        <v>1381937.4636998388</v>
      </c>
      <c r="L25">
        <f t="shared" si="3"/>
        <v>5013570.5732337693</v>
      </c>
    </row>
    <row r="26" spans="3:12" x14ac:dyDescent="0.25">
      <c r="C26">
        <v>9.64</v>
      </c>
      <c r="D26" s="1">
        <f t="shared" si="4"/>
        <v>5013570.5732337693</v>
      </c>
      <c r="E26" t="s">
        <v>2</v>
      </c>
      <c r="F26">
        <v>0.5</v>
      </c>
      <c r="G26" s="1">
        <v>0.89</v>
      </c>
      <c r="H26">
        <f t="shared" si="5"/>
        <v>20.674157303370791</v>
      </c>
      <c r="I26">
        <f t="shared" si="0"/>
        <v>6.3308688999322067</v>
      </c>
      <c r="J26">
        <f t="shared" si="1"/>
        <v>3.1741111005796255E-2</v>
      </c>
      <c r="K26">
        <f t="shared" si="2"/>
        <v>1110938.8852028688</v>
      </c>
      <c r="L26">
        <f t="shared" si="3"/>
        <v>3902631.6880309004</v>
      </c>
    </row>
    <row r="27" spans="3:12" x14ac:dyDescent="0.25">
      <c r="C27">
        <v>9.64</v>
      </c>
      <c r="D27" s="1">
        <f t="shared" si="4"/>
        <v>3902631.6880309004</v>
      </c>
      <c r="E27" t="s">
        <v>2</v>
      </c>
      <c r="F27">
        <v>0.5</v>
      </c>
      <c r="G27" s="1">
        <v>0.89</v>
      </c>
      <c r="H27">
        <f t="shared" si="5"/>
        <v>21.23595505617978</v>
      </c>
      <c r="I27">
        <f t="shared" si="0"/>
        <v>6.205620283355298</v>
      </c>
      <c r="J27">
        <f t="shared" si="1"/>
        <v>2.6847261111502277E-2</v>
      </c>
      <c r="K27">
        <f t="shared" si="2"/>
        <v>939654.13890257967</v>
      </c>
      <c r="L27">
        <f t="shared" si="3"/>
        <v>2962977.549128321</v>
      </c>
    </row>
    <row r="28" spans="3:12" x14ac:dyDescent="0.25">
      <c r="C28">
        <v>9.64</v>
      </c>
      <c r="D28" s="1">
        <f t="shared" si="4"/>
        <v>2962977.549128321</v>
      </c>
      <c r="E28" t="s">
        <v>2</v>
      </c>
      <c r="F28">
        <v>0.5</v>
      </c>
      <c r="G28" s="1">
        <v>0.89</v>
      </c>
      <c r="H28">
        <f t="shared" si="5"/>
        <v>21.797752808988768</v>
      </c>
      <c r="I28">
        <f t="shared" si="0"/>
        <v>6.0678920704150316</v>
      </c>
      <c r="J28">
        <f t="shared" si="1"/>
        <v>2.2267091915876232E-2</v>
      </c>
      <c r="K28">
        <f t="shared" si="2"/>
        <v>779348.21705566812</v>
      </c>
      <c r="L28">
        <f t="shared" si="3"/>
        <v>2183629.3320726529</v>
      </c>
    </row>
    <row r="29" spans="3:12" x14ac:dyDescent="0.25">
      <c r="C29">
        <v>9.64</v>
      </c>
      <c r="D29" s="1">
        <f t="shared" si="4"/>
        <v>2183629.3320726529</v>
      </c>
      <c r="E29" t="s">
        <v>2</v>
      </c>
      <c r="F29">
        <v>0.5</v>
      </c>
      <c r="G29" s="1">
        <v>0.89</v>
      </c>
      <c r="H29">
        <f t="shared" si="5"/>
        <v>22.359550561797757</v>
      </c>
      <c r="I29">
        <f t="shared" si="0"/>
        <v>5.9152888865367492</v>
      </c>
      <c r="J29">
        <f t="shared" si="1"/>
        <v>1.806200391227231E-2</v>
      </c>
      <c r="K29">
        <f t="shared" si="2"/>
        <v>632170.13692953088</v>
      </c>
      <c r="L29">
        <f t="shared" si="3"/>
        <v>1551459.195143122</v>
      </c>
    </row>
    <row r="30" spans="3:12" x14ac:dyDescent="0.25">
      <c r="C30">
        <v>9.64</v>
      </c>
      <c r="D30" s="1">
        <f t="shared" si="4"/>
        <v>1551459.195143122</v>
      </c>
      <c r="E30" t="s">
        <v>2</v>
      </c>
      <c r="F30">
        <v>0.5</v>
      </c>
      <c r="G30" s="1">
        <v>0.89</v>
      </c>
      <c r="H30">
        <f t="shared" si="5"/>
        <v>22.921348314606746</v>
      </c>
      <c r="I30">
        <f t="shared" si="0"/>
        <v>5.7443926768200058</v>
      </c>
      <c r="J30">
        <f t="shared" si="1"/>
        <v>1.4273724278090844E-2</v>
      </c>
      <c r="K30">
        <f t="shared" si="2"/>
        <v>499580.34973317955</v>
      </c>
      <c r="L30">
        <f t="shared" si="3"/>
        <v>1051878.8454099423</v>
      </c>
    </row>
    <row r="31" spans="3:12" x14ac:dyDescent="0.25">
      <c r="C31">
        <v>9.64</v>
      </c>
      <c r="D31" s="1">
        <f t="shared" si="4"/>
        <v>1051878.8454099423</v>
      </c>
      <c r="E31" t="s">
        <v>2</v>
      </c>
      <c r="F31">
        <v>0.5</v>
      </c>
      <c r="G31" s="1">
        <v>0.89</v>
      </c>
      <c r="H31">
        <f t="shared" si="5"/>
        <v>23.483146067415735</v>
      </c>
      <c r="I31">
        <f t="shared" si="0"/>
        <v>5.5500836955325497</v>
      </c>
      <c r="J31">
        <f t="shared" si="1"/>
        <v>1.0925278325462312E-2</v>
      </c>
      <c r="K31">
        <f t="shared" si="2"/>
        <v>382384.7413911809</v>
      </c>
      <c r="L31">
        <f t="shared" si="3"/>
        <v>669494.10401876143</v>
      </c>
    </row>
    <row r="32" spans="3:12" x14ac:dyDescent="0.25">
      <c r="C32">
        <v>6.65</v>
      </c>
      <c r="D32" s="1">
        <f t="shared" si="4"/>
        <v>669494.10401876143</v>
      </c>
      <c r="E32" t="s">
        <v>9</v>
      </c>
      <c r="F32">
        <v>0.5</v>
      </c>
      <c r="G32" s="1">
        <v>0.3</v>
      </c>
      <c r="H32">
        <f t="shared" si="5"/>
        <v>25.149812734082403</v>
      </c>
      <c r="I32">
        <f t="shared" si="0"/>
        <v>5.5098303914313886</v>
      </c>
      <c r="J32">
        <f t="shared" si="1"/>
        <v>6.7447352678554669E-3</v>
      </c>
      <c r="K32">
        <f t="shared" si="2"/>
        <v>236065.73437494136</v>
      </c>
      <c r="L32">
        <f t="shared" si="3"/>
        <v>433428.3696438201</v>
      </c>
    </row>
    <row r="33" spans="3:12" x14ac:dyDescent="0.25">
      <c r="C33">
        <v>6.65</v>
      </c>
      <c r="D33" s="1">
        <f t="shared" si="4"/>
        <v>433428.3696438201</v>
      </c>
      <c r="E33" t="s">
        <v>9</v>
      </c>
      <c r="F33">
        <v>0.5</v>
      </c>
      <c r="G33" s="1">
        <v>0.3</v>
      </c>
      <c r="H33">
        <f t="shared" si="5"/>
        <v>26.816479400749071</v>
      </c>
      <c r="I33">
        <f t="shared" si="0"/>
        <v>5.2924324848063158</v>
      </c>
      <c r="J33">
        <f t="shared" si="1"/>
        <v>3.4931229814840151E-3</v>
      </c>
      <c r="K33">
        <f t="shared" si="2"/>
        <v>122259.30435194053</v>
      </c>
      <c r="L33">
        <f t="shared" si="3"/>
        <v>311169.06529187958</v>
      </c>
    </row>
    <row r="34" spans="3:12" x14ac:dyDescent="0.25">
      <c r="C34">
        <v>9.64</v>
      </c>
      <c r="D34" s="1">
        <f t="shared" si="4"/>
        <v>311169.06529187958</v>
      </c>
      <c r="E34" t="s">
        <v>2</v>
      </c>
      <c r="F34">
        <v>0.5</v>
      </c>
      <c r="G34" s="1">
        <v>0.89</v>
      </c>
      <c r="H34">
        <f t="shared" si="5"/>
        <v>27.378277153558059</v>
      </c>
      <c r="I34">
        <f t="shared" si="0"/>
        <v>4.9410852765669402</v>
      </c>
      <c r="J34">
        <f t="shared" si="1"/>
        <v>2.1533711021470806E-3</v>
      </c>
      <c r="K34">
        <f t="shared" si="2"/>
        <v>75367.988575147814</v>
      </c>
      <c r="L34">
        <f t="shared" si="3"/>
        <v>235801.07671673177</v>
      </c>
    </row>
    <row r="35" spans="3:12" x14ac:dyDescent="0.25">
      <c r="C35">
        <v>9.64</v>
      </c>
      <c r="D35" s="1">
        <f t="shared" si="4"/>
        <v>235801.07671673177</v>
      </c>
      <c r="E35" t="s">
        <v>2</v>
      </c>
      <c r="F35">
        <v>0.5</v>
      </c>
      <c r="G35" s="1">
        <v>0.89</v>
      </c>
      <c r="H35">
        <f t="shared" si="5"/>
        <v>27.940074906367048</v>
      </c>
      <c r="I35">
        <f t="shared" si="0"/>
        <v>4.8024113623406235</v>
      </c>
      <c r="J35">
        <f t="shared" si="1"/>
        <v>1.5748432786284374E-3</v>
      </c>
      <c r="K35">
        <f t="shared" si="2"/>
        <v>55119.51475199531</v>
      </c>
      <c r="L35">
        <f t="shared" si="3"/>
        <v>180681.56196473647</v>
      </c>
    </row>
    <row r="36" spans="3:12" x14ac:dyDescent="0.25">
      <c r="C36">
        <v>9.64</v>
      </c>
      <c r="D36" s="1">
        <f t="shared" si="4"/>
        <v>180681.56196473647</v>
      </c>
      <c r="E36" t="s">
        <v>2</v>
      </c>
      <c r="F36">
        <v>0.5</v>
      </c>
      <c r="G36" s="1">
        <v>0.89</v>
      </c>
      <c r="H36">
        <f t="shared" si="5"/>
        <v>28.501872659176037</v>
      </c>
      <c r="I36">
        <f t="shared" si="0"/>
        <v>4.6692851630159948</v>
      </c>
      <c r="J36">
        <f t="shared" si="1"/>
        <v>1.1454083521555045E-3</v>
      </c>
      <c r="K36">
        <f t="shared" si="2"/>
        <v>40089.292325442657</v>
      </c>
      <c r="L36">
        <f t="shared" si="3"/>
        <v>140592.26963929381</v>
      </c>
    </row>
    <row r="37" spans="3:12" x14ac:dyDescent="0.25">
      <c r="C37">
        <v>9.64</v>
      </c>
      <c r="D37" s="1">
        <f t="shared" si="4"/>
        <v>140592.26963929381</v>
      </c>
      <c r="E37" t="s">
        <v>2</v>
      </c>
      <c r="F37">
        <v>0.5</v>
      </c>
      <c r="G37" s="1">
        <v>0.89</v>
      </c>
      <c r="H37">
        <f t="shared" si="5"/>
        <v>29.063670411985026</v>
      </c>
      <c r="I37">
        <f t="shared" si="0"/>
        <v>4.5438490834981868</v>
      </c>
      <c r="J37">
        <f t="shared" si="1"/>
        <v>8.3111757904041211E-4</v>
      </c>
      <c r="K37">
        <f t="shared" si="2"/>
        <v>29089.115266414425</v>
      </c>
      <c r="L37">
        <f t="shared" si="3"/>
        <v>111503.15437287939</v>
      </c>
    </row>
    <row r="38" spans="3:12" x14ac:dyDescent="0.25">
      <c r="C38">
        <v>9.64</v>
      </c>
      <c r="D38" s="1">
        <f t="shared" si="4"/>
        <v>111503.15437287939</v>
      </c>
      <c r="E38" t="s">
        <v>2</v>
      </c>
      <c r="F38">
        <v>0.5</v>
      </c>
      <c r="G38" s="1">
        <v>0.89</v>
      </c>
      <c r="H38">
        <f t="shared" si="5"/>
        <v>29.625468164794015</v>
      </c>
      <c r="I38">
        <f t="shared" si="0"/>
        <v>4.4279435255997086</v>
      </c>
      <c r="J38">
        <f t="shared" si="1"/>
        <v>6.0356287425508269E-4</v>
      </c>
      <c r="K38">
        <f t="shared" si="2"/>
        <v>21124.700598927895</v>
      </c>
      <c r="L38">
        <f t="shared" si="3"/>
        <v>90378.453773951493</v>
      </c>
    </row>
    <row r="39" spans="3:12" x14ac:dyDescent="0.25">
      <c r="C39">
        <v>9.64</v>
      </c>
      <c r="D39" s="1">
        <f t="shared" si="4"/>
        <v>90378.453773951493</v>
      </c>
      <c r="E39" t="s">
        <v>2</v>
      </c>
      <c r="F39">
        <v>0.5</v>
      </c>
      <c r="G39" s="1">
        <v>0.89</v>
      </c>
      <c r="H39">
        <f t="shared" si="5"/>
        <v>30.187265917603003</v>
      </c>
      <c r="I39">
        <f t="shared" si="0"/>
        <v>4.3229200330705275</v>
      </c>
      <c r="J39">
        <f t="shared" si="1"/>
        <v>4.39936830845369E-4</v>
      </c>
      <c r="K39">
        <f t="shared" si="2"/>
        <v>15397.789079587916</v>
      </c>
      <c r="L39">
        <f t="shared" si="3"/>
        <v>74980.664694363571</v>
      </c>
    </row>
    <row r="40" spans="3:12" x14ac:dyDescent="0.25">
      <c r="C40">
        <v>6.65</v>
      </c>
      <c r="D40" s="1">
        <f t="shared" si="4"/>
        <v>74980.664694363571</v>
      </c>
      <c r="E40" t="s">
        <v>9</v>
      </c>
      <c r="F40">
        <v>0.5</v>
      </c>
      <c r="G40" s="1">
        <v>0.3</v>
      </c>
      <c r="H40">
        <f t="shared" si="5"/>
        <v>31.853932584269671</v>
      </c>
      <c r="I40">
        <f t="shared" si="0"/>
        <v>4.4151843502691746</v>
      </c>
      <c r="J40">
        <f t="shared" si="1"/>
        <v>2.690234586287016E-4</v>
      </c>
      <c r="K40">
        <f t="shared" si="2"/>
        <v>9415.8210520045559</v>
      </c>
      <c r="L40">
        <f t="shared" si="3"/>
        <v>65564.843642359017</v>
      </c>
    </row>
    <row r="41" spans="3:12" x14ac:dyDescent="0.25">
      <c r="C41">
        <v>6.65</v>
      </c>
      <c r="D41" s="1">
        <f t="shared" si="4"/>
        <v>65564.843642359017</v>
      </c>
      <c r="E41" t="s">
        <v>9</v>
      </c>
      <c r="F41">
        <v>0.5</v>
      </c>
      <c r="G41" s="1">
        <v>0.3</v>
      </c>
      <c r="H41">
        <f t="shared" si="5"/>
        <v>33.520599250936336</v>
      </c>
      <c r="I41">
        <f t="shared" si="0"/>
        <v>4.348089028260965</v>
      </c>
      <c r="J41">
        <f t="shared" si="1"/>
        <v>1.3482643465048946E-4</v>
      </c>
      <c r="K41">
        <f t="shared" si="2"/>
        <v>4718.9252127671307</v>
      </c>
      <c r="L41">
        <f t="shared" si="3"/>
        <v>60845.918429591889</v>
      </c>
    </row>
    <row r="42" spans="3:12" x14ac:dyDescent="0.25">
      <c r="C42">
        <v>9.64</v>
      </c>
      <c r="D42" s="1">
        <f t="shared" si="4"/>
        <v>60845.918429591889</v>
      </c>
      <c r="E42" t="s">
        <v>2</v>
      </c>
      <c r="F42">
        <v>0.5</v>
      </c>
      <c r="G42" s="1">
        <v>0.89</v>
      </c>
      <c r="H42">
        <f t="shared" si="5"/>
        <v>34.082397003745328</v>
      </c>
      <c r="I42">
        <f t="shared" si="0"/>
        <v>4.1250894558062088</v>
      </c>
      <c r="J42">
        <f t="shared" si="1"/>
        <v>8.2289132803194546E-5</v>
      </c>
      <c r="K42">
        <f t="shared" si="2"/>
        <v>2880.1196481118091</v>
      </c>
      <c r="L42">
        <f t="shared" si="3"/>
        <v>57965.79878148008</v>
      </c>
    </row>
    <row r="43" spans="3:12" x14ac:dyDescent="0.25">
      <c r="C43">
        <v>9.64</v>
      </c>
      <c r="D43" s="1">
        <f t="shared" si="4"/>
        <v>57965.79878148008</v>
      </c>
      <c r="E43" t="s">
        <v>2</v>
      </c>
      <c r="F43">
        <v>0.5</v>
      </c>
      <c r="G43" s="1">
        <v>0.89</v>
      </c>
      <c r="H43">
        <f t="shared" si="5"/>
        <v>34.644194756554313</v>
      </c>
      <c r="I43">
        <f t="shared" si="0"/>
        <v>4.1008436653986742</v>
      </c>
      <c r="J43">
        <f t="shared" si="1"/>
        <v>6.4376522521832085E-5</v>
      </c>
      <c r="K43">
        <f t="shared" si="2"/>
        <v>2253.1782882641228</v>
      </c>
      <c r="L43">
        <f t="shared" si="3"/>
        <v>55712.62049321596</v>
      </c>
    </row>
    <row r="44" spans="3:12" x14ac:dyDescent="0.25">
      <c r="C44">
        <v>9.64</v>
      </c>
      <c r="D44" s="1">
        <f t="shared" si="4"/>
        <v>55712.62049321596</v>
      </c>
      <c r="E44" t="s">
        <v>2</v>
      </c>
      <c r="F44">
        <v>0.5</v>
      </c>
      <c r="G44" s="1">
        <v>0.89</v>
      </c>
      <c r="H44">
        <f t="shared" si="5"/>
        <v>35.205992509363298</v>
      </c>
      <c r="I44">
        <f t="shared" si="0"/>
        <v>4.0810204356990427</v>
      </c>
      <c r="J44">
        <f t="shared" si="1"/>
        <v>5.0562671196458305E-5</v>
      </c>
      <c r="K44">
        <f t="shared" si="2"/>
        <v>1769.6934918760408</v>
      </c>
      <c r="L44">
        <f t="shared" si="3"/>
        <v>53942.927001339922</v>
      </c>
    </row>
    <row r="45" spans="3:12" x14ac:dyDescent="0.25">
      <c r="C45">
        <v>9.64</v>
      </c>
      <c r="D45" s="1">
        <f t="shared" si="4"/>
        <v>53942.927001339922</v>
      </c>
      <c r="E45" t="s">
        <v>2</v>
      </c>
      <c r="F45">
        <v>0.5</v>
      </c>
      <c r="G45" s="1">
        <v>0.89</v>
      </c>
      <c r="H45">
        <f t="shared" si="5"/>
        <v>35.767790262172284</v>
      </c>
      <c r="I45">
        <f t="shared" si="0"/>
        <v>4.0648803753104517</v>
      </c>
      <c r="J45">
        <f t="shared" si="1"/>
        <v>3.9842901031227883E-5</v>
      </c>
      <c r="K45">
        <f t="shared" si="2"/>
        <v>1394.5015360929758</v>
      </c>
      <c r="L45">
        <f t="shared" si="3"/>
        <v>52548.425465246946</v>
      </c>
    </row>
    <row r="46" spans="3:12" x14ac:dyDescent="0.25">
      <c r="C46">
        <v>9.64</v>
      </c>
      <c r="D46" s="1">
        <f t="shared" si="4"/>
        <v>52548.425465246946</v>
      </c>
      <c r="E46" t="s">
        <v>2</v>
      </c>
      <c r="F46">
        <v>0.5</v>
      </c>
      <c r="G46" s="1">
        <v>0.89</v>
      </c>
      <c r="H46">
        <f t="shared" si="5"/>
        <v>36.329588014981269</v>
      </c>
      <c r="I46">
        <f t="shared" si="0"/>
        <v>4.0517846523157068</v>
      </c>
      <c r="J46">
        <f t="shared" si="1"/>
        <v>3.1478861870116338E-5</v>
      </c>
      <c r="K46">
        <f t="shared" ref="K46:K49" si="6">$D$2*J46</f>
        <v>1101.7601654540717</v>
      </c>
      <c r="L46">
        <f t="shared" si="3"/>
        <v>51446.665299792876</v>
      </c>
    </row>
    <row r="47" spans="3:12" x14ac:dyDescent="0.25">
      <c r="C47">
        <v>9.64</v>
      </c>
      <c r="D47" s="1">
        <f t="shared" si="4"/>
        <v>51446.665299792876</v>
      </c>
      <c r="E47" t="s">
        <v>2</v>
      </c>
      <c r="F47">
        <v>0.5</v>
      </c>
      <c r="G47" s="1">
        <v>0.89</v>
      </c>
      <c r="H47">
        <f t="shared" si="5"/>
        <v>36.891385767790254</v>
      </c>
      <c r="I47">
        <f t="shared" si="0"/>
        <v>4.041189908076138</v>
      </c>
      <c r="J47">
        <f t="shared" si="1"/>
        <v>2.4922669944289351E-5</v>
      </c>
      <c r="K47">
        <f t="shared" si="6"/>
        <v>872.29344805012727</v>
      </c>
      <c r="L47">
        <f t="shared" si="3"/>
        <v>50574.371851742748</v>
      </c>
    </row>
    <row r="48" spans="3:12" x14ac:dyDescent="0.25">
      <c r="C48">
        <v>6.65</v>
      </c>
      <c r="D48" s="1">
        <f t="shared" si="4"/>
        <v>50574.371851742748</v>
      </c>
      <c r="E48" t="s">
        <v>9</v>
      </c>
      <c r="F48">
        <v>0.5</v>
      </c>
      <c r="G48" s="1">
        <v>0.3</v>
      </c>
      <c r="H48">
        <f t="shared" si="5"/>
        <v>38.558052434456918</v>
      </c>
      <c r="I48">
        <f t="shared" si="0"/>
        <v>4.2182916935787222</v>
      </c>
      <c r="J48">
        <f t="shared" si="1"/>
        <v>1.6665153652549211E-5</v>
      </c>
      <c r="K48">
        <f t="shared" si="6"/>
        <v>583.28037783922241</v>
      </c>
      <c r="L48">
        <f t="shared" si="3"/>
        <v>49991.091473903529</v>
      </c>
    </row>
    <row r="49" spans="3:12" x14ac:dyDescent="0.25">
      <c r="C49">
        <v>6.65</v>
      </c>
      <c r="D49" s="1">
        <f t="shared" si="4"/>
        <v>49991.091473903529</v>
      </c>
      <c r="E49" t="s">
        <v>9</v>
      </c>
      <c r="F49">
        <v>0.5</v>
      </c>
      <c r="G49" s="1">
        <v>0.3</v>
      </c>
      <c r="H49">
        <f t="shared" si="5"/>
        <v>40.224719101123583</v>
      </c>
      <c r="I49">
        <f t="shared" si="0"/>
        <v>4.2124916216731689</v>
      </c>
      <c r="J49">
        <f t="shared" si="1"/>
        <v>8.5856203667775169E-6</v>
      </c>
      <c r="K49">
        <f t="shared" si="6"/>
        <v>300.49671283721307</v>
      </c>
      <c r="L49">
        <f t="shared" si="3"/>
        <v>49690.594761066313</v>
      </c>
    </row>
    <row r="50" spans="3:12" x14ac:dyDescent="0.25">
      <c r="I50" s="2" t="s">
        <v>12</v>
      </c>
      <c r="J50">
        <f>SUM(J2:J49)</f>
        <v>0.99858026872111227</v>
      </c>
      <c r="K50">
        <f>SUM(K2:K49)</f>
        <v>34950309.405238949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E88F-387F-4B2F-8B0E-5768AC2010EE}">
  <dimension ref="A1:J50"/>
  <sheetViews>
    <sheetView topLeftCell="A37" workbookViewId="0">
      <selection activeCell="A3" sqref="A3:J3"/>
    </sheetView>
  </sheetViews>
  <sheetFormatPr defaultRowHeight="15" x14ac:dyDescent="0.25"/>
  <sheetData>
    <row r="1" spans="1:10" x14ac:dyDescent="0.25">
      <c r="A1" s="1" t="s">
        <v>16</v>
      </c>
      <c r="B1" t="s">
        <v>7</v>
      </c>
      <c r="C1" t="s">
        <v>0</v>
      </c>
      <c r="D1" t="s">
        <v>3</v>
      </c>
      <c r="E1" t="s">
        <v>4</v>
      </c>
      <c r="F1" t="s">
        <v>5</v>
      </c>
      <c r="G1" s="1" t="s">
        <v>13</v>
      </c>
      <c r="H1" t="s">
        <v>18</v>
      </c>
      <c r="I1" t="s">
        <v>17</v>
      </c>
      <c r="J1" t="s">
        <v>14</v>
      </c>
    </row>
    <row r="2" spans="1:10" x14ac:dyDescent="0.25">
      <c r="A2" t="s">
        <v>2</v>
      </c>
      <c r="B2">
        <v>9.64</v>
      </c>
      <c r="C2" s="1">
        <v>35000000</v>
      </c>
      <c r="D2">
        <v>0.5</v>
      </c>
      <c r="E2" s="1">
        <v>0.89</v>
      </c>
      <c r="F2">
        <f>D2/E2</f>
        <v>0.5617977528089888</v>
      </c>
      <c r="G2">
        <f>0.5*(LN(C2/B2)-0.5)</f>
        <v>7.3024687554156165</v>
      </c>
      <c r="H2">
        <f>(POWER(F2,G2)*EXP(-F2/2))/(POWER(2,G2+1)*_xlfn.GAMMA(G2+1))</f>
        <v>3.8037712086986466E-9</v>
      </c>
      <c r="I2">
        <f>C2*H2</f>
        <v>0.13313199230445263</v>
      </c>
      <c r="J2">
        <f>C2-I2</f>
        <v>34999999.866868004</v>
      </c>
    </row>
    <row r="3" spans="1:10" x14ac:dyDescent="0.25">
      <c r="A3" t="s">
        <v>2</v>
      </c>
      <c r="B3">
        <v>9.64</v>
      </c>
      <c r="C3" s="1">
        <f>J2</f>
        <v>34999999.866868004</v>
      </c>
      <c r="D3">
        <v>0.5</v>
      </c>
      <c r="E3" s="1">
        <v>0.89</v>
      </c>
      <c r="F3">
        <f>D3/E3+F2</f>
        <v>1.1235955056179776</v>
      </c>
      <c r="G3">
        <f>0.5*(LN(C3/B3)-0.5)</f>
        <v>7.3024687535137307</v>
      </c>
      <c r="H3">
        <f t="shared" ref="H3:H49" si="0">(POWER(F3,G3)*EXP(-F3/2))/(POWER(2,G3+1)*_xlfn.GAMMA(G3+1))</f>
        <v>4.5340227490320242E-7</v>
      </c>
      <c r="I3">
        <f t="shared" ref="I3:I49" si="1">$C$2*H3</f>
        <v>15.869079621612084</v>
      </c>
      <c r="J3">
        <f>C3-I3</f>
        <v>34999983.997788385</v>
      </c>
    </row>
    <row r="4" spans="1:10" x14ac:dyDescent="0.25">
      <c r="A4" t="s">
        <v>2</v>
      </c>
      <c r="B4">
        <v>9.64</v>
      </c>
      <c r="C4" s="1">
        <f t="shared" ref="C4:C49" si="2">J3</f>
        <v>34999983.997788385</v>
      </c>
      <c r="D4">
        <v>0.5</v>
      </c>
      <c r="E4" s="1">
        <v>0.89</v>
      </c>
      <c r="F4">
        <f t="shared" ref="F4:F49" si="3">D4/E4+F3</f>
        <v>1.6853932584269664</v>
      </c>
      <c r="G4">
        <f>0.5*(LN(C4/B4)-0.5)</f>
        <v>7.3024685268125413</v>
      </c>
      <c r="H4">
        <f t="shared" si="0"/>
        <v>6.6129006649609569E-6</v>
      </c>
      <c r="I4">
        <f t="shared" si="1"/>
        <v>231.45152327363348</v>
      </c>
      <c r="J4">
        <f>C4-I4</f>
        <v>34999752.54626511</v>
      </c>
    </row>
    <row r="5" spans="1:10" x14ac:dyDescent="0.25">
      <c r="A5" t="s">
        <v>2</v>
      </c>
      <c r="B5">
        <v>9.64</v>
      </c>
      <c r="C5" s="1">
        <f t="shared" si="2"/>
        <v>34999752.54626511</v>
      </c>
      <c r="D5">
        <v>0.5</v>
      </c>
      <c r="E5" s="1">
        <v>0.89</v>
      </c>
      <c r="F5">
        <f t="shared" si="3"/>
        <v>2.2471910112359552</v>
      </c>
      <c r="G5">
        <f>0.5*(LN(C5/B5)-0.5)</f>
        <v>7.3024652203497649</v>
      </c>
      <c r="H5">
        <f t="shared" si="0"/>
        <v>4.0809675613192353E-5</v>
      </c>
      <c r="I5">
        <f t="shared" si="1"/>
        <v>1428.3386464617324</v>
      </c>
      <c r="J5">
        <f>C5-I5</f>
        <v>34998324.207618646</v>
      </c>
    </row>
    <row r="6" spans="1:10" x14ac:dyDescent="0.25">
      <c r="A6" t="s">
        <v>2</v>
      </c>
      <c r="B6">
        <v>9.64</v>
      </c>
      <c r="C6" s="1">
        <f t="shared" si="2"/>
        <v>34998324.207618646</v>
      </c>
      <c r="D6">
        <v>0.5</v>
      </c>
      <c r="E6" s="1">
        <v>0.89</v>
      </c>
      <c r="F6">
        <f t="shared" si="3"/>
        <v>2.808988764044944</v>
      </c>
      <c r="G6">
        <f>0.5*(LN(C6/B6)-0.5)</f>
        <v>7.3024448149513175</v>
      </c>
      <c r="H6">
        <f t="shared" si="0"/>
        <v>1.5720541896665558E-4</v>
      </c>
      <c r="I6">
        <f t="shared" si="1"/>
        <v>5502.1896638329454</v>
      </c>
      <c r="J6">
        <f>C6-I6</f>
        <v>34992822.017954811</v>
      </c>
    </row>
    <row r="7" spans="1:10" x14ac:dyDescent="0.25">
      <c r="A7" t="s">
        <v>2</v>
      </c>
      <c r="B7">
        <v>9.64</v>
      </c>
      <c r="C7" s="1">
        <f t="shared" si="2"/>
        <v>34992822.017954811</v>
      </c>
      <c r="D7">
        <v>0.5</v>
      </c>
      <c r="E7" s="1">
        <v>0.89</v>
      </c>
      <c r="F7">
        <f t="shared" si="3"/>
        <v>3.3707865168539328</v>
      </c>
      <c r="G7">
        <f>0.5*(LN(C7/B7)-0.5)</f>
        <v>7.3023662022985487</v>
      </c>
      <c r="H7">
        <f t="shared" si="0"/>
        <v>4.4951449671416479E-4</v>
      </c>
      <c r="I7">
        <f t="shared" si="1"/>
        <v>15733.007384995768</v>
      </c>
      <c r="J7">
        <f>C7-I7</f>
        <v>34977089.010569818</v>
      </c>
    </row>
    <row r="8" spans="1:10" x14ac:dyDescent="0.25">
      <c r="A8" t="s">
        <v>9</v>
      </c>
      <c r="B8">
        <v>6.65</v>
      </c>
      <c r="C8" s="1">
        <f t="shared" si="2"/>
        <v>34977089.010569818</v>
      </c>
      <c r="D8">
        <v>0.5</v>
      </c>
      <c r="E8" s="1">
        <v>0.3</v>
      </c>
      <c r="F8">
        <f t="shared" si="3"/>
        <v>5.0374531835205998</v>
      </c>
      <c r="G8">
        <f>0.5*(LN(C8/B8)-0.5)</f>
        <v>7.4877934753719968</v>
      </c>
      <c r="H8">
        <f t="shared" si="0"/>
        <v>2.970917129128618E-3</v>
      </c>
      <c r="I8">
        <f t="shared" si="1"/>
        <v>103982.09951950163</v>
      </c>
      <c r="J8">
        <f>C8-I8</f>
        <v>34873106.91105032</v>
      </c>
    </row>
    <row r="9" spans="1:10" x14ac:dyDescent="0.25">
      <c r="A9" t="s">
        <v>9</v>
      </c>
      <c r="B9">
        <v>6.65</v>
      </c>
      <c r="C9" s="1">
        <f t="shared" si="2"/>
        <v>34873106.91105032</v>
      </c>
      <c r="D9">
        <v>0.5</v>
      </c>
      <c r="E9" s="1">
        <v>0.3</v>
      </c>
      <c r="F9">
        <f t="shared" si="3"/>
        <v>6.7041198501872667</v>
      </c>
      <c r="G9">
        <f>0.5*(LN(C9/B9)-0.5)</f>
        <v>7.4863048299221466</v>
      </c>
      <c r="H9">
        <f t="shared" si="0"/>
        <v>1.0990200505429336E-2</v>
      </c>
      <c r="I9">
        <f t="shared" si="1"/>
        <v>384657.01769002678</v>
      </c>
      <c r="J9">
        <f>C9-I9</f>
        <v>34488449.893360294</v>
      </c>
    </row>
    <row r="10" spans="1:10" x14ac:dyDescent="0.25">
      <c r="A10" t="s">
        <v>2</v>
      </c>
      <c r="B10">
        <v>9.64</v>
      </c>
      <c r="C10" s="1">
        <f t="shared" si="2"/>
        <v>34488449.893360294</v>
      </c>
      <c r="D10">
        <v>0.5</v>
      </c>
      <c r="E10" s="1">
        <v>0.89</v>
      </c>
      <c r="F10">
        <f t="shared" si="3"/>
        <v>7.2659176029962556</v>
      </c>
      <c r="G10">
        <f>0.5*(LN(C10/B10)-0.5)</f>
        <v>7.2951069658130949</v>
      </c>
      <c r="H10">
        <f t="shared" si="0"/>
        <v>1.758364135623898E-2</v>
      </c>
      <c r="I10">
        <f t="shared" si="1"/>
        <v>615427.44746836426</v>
      </c>
      <c r="J10">
        <f>C10-I10</f>
        <v>33873022.445891932</v>
      </c>
    </row>
    <row r="11" spans="1:10" x14ac:dyDescent="0.25">
      <c r="A11" t="s">
        <v>2</v>
      </c>
      <c r="B11">
        <v>9.64</v>
      </c>
      <c r="C11" s="1">
        <f t="shared" si="2"/>
        <v>33873022.445891932</v>
      </c>
      <c r="D11">
        <v>0.5</v>
      </c>
      <c r="E11" s="1">
        <v>0.89</v>
      </c>
      <c r="F11">
        <f t="shared" si="3"/>
        <v>7.8277153558052444</v>
      </c>
      <c r="G11">
        <f>0.5*(LN(C11/B11)-0.5)</f>
        <v>7.2861041744282868</v>
      </c>
      <c r="H11">
        <f t="shared" si="0"/>
        <v>2.300208419112423E-2</v>
      </c>
      <c r="I11">
        <f t="shared" si="1"/>
        <v>805072.94668934809</v>
      </c>
      <c r="J11">
        <f>C11-I11</f>
        <v>33067949.499202583</v>
      </c>
    </row>
    <row r="12" spans="1:10" x14ac:dyDescent="0.25">
      <c r="A12" t="s">
        <v>2</v>
      </c>
      <c r="B12">
        <v>9.64</v>
      </c>
      <c r="C12" s="1">
        <f t="shared" si="2"/>
        <v>33067949.499202583</v>
      </c>
      <c r="D12">
        <v>0.5</v>
      </c>
      <c r="E12" s="1">
        <v>0.89</v>
      </c>
      <c r="F12">
        <f t="shared" si="3"/>
        <v>8.3895131086142332</v>
      </c>
      <c r="G12">
        <f>0.5*(LN(C12/B12)-0.5)</f>
        <v>7.2740769847754025</v>
      </c>
      <c r="H12">
        <f t="shared" si="0"/>
        <v>2.8995388182849299E-2</v>
      </c>
      <c r="I12">
        <f t="shared" si="1"/>
        <v>1014838.5863997254</v>
      </c>
      <c r="J12">
        <f>C12-I12</f>
        <v>32053110.912802856</v>
      </c>
    </row>
    <row r="13" spans="1:10" x14ac:dyDescent="0.25">
      <c r="A13" t="s">
        <v>2</v>
      </c>
      <c r="B13">
        <v>9.64</v>
      </c>
      <c r="C13" s="1">
        <f t="shared" si="2"/>
        <v>32053110.912802856</v>
      </c>
      <c r="D13">
        <v>0.5</v>
      </c>
      <c r="E13" s="1">
        <v>0.89</v>
      </c>
      <c r="F13">
        <f t="shared" si="3"/>
        <v>8.951310861423222</v>
      </c>
      <c r="G13">
        <f>0.5*(LN(C13/B13)-0.5)</f>
        <v>7.258491846180041</v>
      </c>
      <c r="H13">
        <f t="shared" si="0"/>
        <v>3.5386334325453572E-2</v>
      </c>
      <c r="I13">
        <f t="shared" si="1"/>
        <v>1238521.701390875</v>
      </c>
      <c r="J13">
        <f>C13-I13</f>
        <v>30814589.211411983</v>
      </c>
    </row>
    <row r="14" spans="1:10" x14ac:dyDescent="0.25">
      <c r="A14" t="s">
        <v>2</v>
      </c>
      <c r="B14">
        <v>9.64</v>
      </c>
      <c r="C14" s="1">
        <f t="shared" si="2"/>
        <v>30814589.211411983</v>
      </c>
      <c r="D14">
        <v>0.5</v>
      </c>
      <c r="E14" s="1">
        <v>0.89</v>
      </c>
      <c r="F14">
        <f t="shared" si="3"/>
        <v>9.5131086142322108</v>
      </c>
      <c r="G14">
        <f>0.5*(LN(C14/B14)-0.5)</f>
        <v>7.2387888514338119</v>
      </c>
      <c r="H14">
        <f t="shared" si="0"/>
        <v>4.1967058593781713E-2</v>
      </c>
      <c r="I14">
        <f t="shared" si="1"/>
        <v>1468847.0507823599</v>
      </c>
      <c r="J14">
        <f>C14-I14</f>
        <v>29345742.160629623</v>
      </c>
    </row>
    <row r="15" spans="1:10" x14ac:dyDescent="0.25">
      <c r="A15" t="s">
        <v>2</v>
      </c>
      <c r="B15">
        <v>9.64</v>
      </c>
      <c r="C15" s="1">
        <f t="shared" si="2"/>
        <v>29345742.160629623</v>
      </c>
      <c r="D15">
        <v>0.5</v>
      </c>
      <c r="E15" s="1">
        <v>0.89</v>
      </c>
      <c r="F15">
        <f t="shared" si="3"/>
        <v>10.0749063670412</v>
      </c>
      <c r="G15">
        <f>0.5*(LN(C15/B15)-0.5)</f>
        <v>7.2143684569519975</v>
      </c>
      <c r="H15">
        <f t="shared" si="0"/>
        <v>4.851097712812065E-2</v>
      </c>
      <c r="I15">
        <f t="shared" si="1"/>
        <v>1697884.1994842228</v>
      </c>
      <c r="J15">
        <f>C15-I15</f>
        <v>27647857.961145401</v>
      </c>
    </row>
    <row r="16" spans="1:10" x14ac:dyDescent="0.25">
      <c r="A16" t="s">
        <v>9</v>
      </c>
      <c r="B16">
        <v>6.65</v>
      </c>
      <c r="C16" s="1">
        <f t="shared" si="2"/>
        <v>27647857.961145401</v>
      </c>
      <c r="D16">
        <v>0.5</v>
      </c>
      <c r="E16" s="1">
        <v>0.3</v>
      </c>
      <c r="F16">
        <f t="shared" si="3"/>
        <v>11.741573033707866</v>
      </c>
      <c r="G16">
        <f>0.5*(LN(C16/B16)-0.5)</f>
        <v>7.3702209792521289</v>
      </c>
      <c r="H16">
        <f t="shared" si="0"/>
        <v>6.0864901286787731E-2</v>
      </c>
      <c r="I16">
        <f t="shared" si="1"/>
        <v>2130271.5450375704</v>
      </c>
      <c r="J16">
        <f>C16-I16</f>
        <v>25517586.41610783</v>
      </c>
    </row>
    <row r="17" spans="1:10" x14ac:dyDescent="0.25">
      <c r="A17" t="s">
        <v>9</v>
      </c>
      <c r="B17">
        <v>6.65</v>
      </c>
      <c r="C17" s="1">
        <f t="shared" si="2"/>
        <v>25517586.41610783</v>
      </c>
      <c r="D17">
        <v>0.5</v>
      </c>
      <c r="E17" s="1">
        <v>0.3</v>
      </c>
      <c r="F17">
        <f t="shared" si="3"/>
        <v>13.408239700374532</v>
      </c>
      <c r="G17">
        <f>0.5*(LN(C17/B17)-0.5)</f>
        <v>7.3301307905645849</v>
      </c>
      <c r="H17">
        <f t="shared" si="0"/>
        <v>7.0806674328418209E-2</v>
      </c>
      <c r="I17">
        <f t="shared" si="1"/>
        <v>2478233.6014946373</v>
      </c>
      <c r="J17">
        <f>C17-I17</f>
        <v>23039352.814613193</v>
      </c>
    </row>
    <row r="18" spans="1:10" x14ac:dyDescent="0.25">
      <c r="A18" t="s">
        <v>2</v>
      </c>
      <c r="B18">
        <v>9.64</v>
      </c>
      <c r="C18" s="1">
        <f t="shared" si="2"/>
        <v>23039352.814613193</v>
      </c>
      <c r="D18">
        <v>0.5</v>
      </c>
      <c r="E18" s="1">
        <v>0.89</v>
      </c>
      <c r="F18">
        <f t="shared" si="3"/>
        <v>13.970037453183521</v>
      </c>
      <c r="G18">
        <f>0.5*(LN(C18/B18)-0.5)</f>
        <v>7.0933965975657323</v>
      </c>
      <c r="H18">
        <f t="shared" si="0"/>
        <v>7.3958984362314767E-2</v>
      </c>
      <c r="I18">
        <f t="shared" si="1"/>
        <v>2588564.4526810166</v>
      </c>
      <c r="J18">
        <f>C18-I18</f>
        <v>20450788.361932177</v>
      </c>
    </row>
    <row r="19" spans="1:10" x14ac:dyDescent="0.25">
      <c r="A19" t="s">
        <v>2</v>
      </c>
      <c r="B19">
        <v>9.64</v>
      </c>
      <c r="C19" s="1">
        <f t="shared" si="2"/>
        <v>20450788.361932177</v>
      </c>
      <c r="D19">
        <v>0.5</v>
      </c>
      <c r="E19" s="1">
        <v>0.89</v>
      </c>
      <c r="F19">
        <f t="shared" si="3"/>
        <v>14.531835205992509</v>
      </c>
      <c r="G19">
        <f>0.5*(LN(C19/B19)-0.5)</f>
        <v>7.0338054408966508</v>
      </c>
      <c r="H19">
        <f t="shared" si="0"/>
        <v>7.4048364010343939E-2</v>
      </c>
      <c r="I19">
        <f t="shared" si="1"/>
        <v>2591692.7403620379</v>
      </c>
      <c r="J19">
        <f>C19-I19</f>
        <v>17859095.62157014</v>
      </c>
    </row>
    <row r="20" spans="1:10" x14ac:dyDescent="0.25">
      <c r="A20" t="s">
        <v>2</v>
      </c>
      <c r="B20">
        <v>9.64</v>
      </c>
      <c r="C20" s="1">
        <f t="shared" si="2"/>
        <v>17859095.62157014</v>
      </c>
      <c r="D20">
        <v>0.5</v>
      </c>
      <c r="E20" s="1">
        <v>0.89</v>
      </c>
      <c r="F20">
        <f t="shared" si="3"/>
        <v>15.093632958801498</v>
      </c>
      <c r="G20">
        <f>0.5*(LN(C20/B20)-0.5)</f>
        <v>6.9660511932089673</v>
      </c>
      <c r="H20">
        <f t="shared" si="0"/>
        <v>7.2984562470003761E-2</v>
      </c>
      <c r="I20">
        <f t="shared" si="1"/>
        <v>2554459.6864501317</v>
      </c>
      <c r="J20">
        <f>C20-I20</f>
        <v>15304635.935120009</v>
      </c>
    </row>
    <row r="21" spans="1:10" x14ac:dyDescent="0.25">
      <c r="A21" t="s">
        <v>2</v>
      </c>
      <c r="B21">
        <v>9.64</v>
      </c>
      <c r="C21" s="1">
        <f t="shared" si="2"/>
        <v>15304635.935120009</v>
      </c>
      <c r="D21">
        <v>0.5</v>
      </c>
      <c r="E21" s="1">
        <v>0.89</v>
      </c>
      <c r="F21">
        <f t="shared" si="3"/>
        <v>15.655430711610487</v>
      </c>
      <c r="G21">
        <f>0.5*(LN(C21/B21)-0.5)</f>
        <v>6.8888726170698549</v>
      </c>
      <c r="H21">
        <f t="shared" si="0"/>
        <v>7.0804987200672034E-2</v>
      </c>
      <c r="I21">
        <f t="shared" si="1"/>
        <v>2478174.5520235212</v>
      </c>
      <c r="J21">
        <f>C21-I21</f>
        <v>12826461.383096488</v>
      </c>
    </row>
    <row r="22" spans="1:10" x14ac:dyDescent="0.25">
      <c r="A22" t="s">
        <v>2</v>
      </c>
      <c r="B22">
        <v>9.64</v>
      </c>
      <c r="C22" s="1">
        <f t="shared" si="2"/>
        <v>12826461.383096488</v>
      </c>
      <c r="D22">
        <v>0.5</v>
      </c>
      <c r="E22" s="1">
        <v>0.89</v>
      </c>
      <c r="F22">
        <f t="shared" si="3"/>
        <v>16.217228464419478</v>
      </c>
      <c r="G22">
        <f>0.5*(LN(C22/B22)-0.5)</f>
        <v>6.8005498909533992</v>
      </c>
      <c r="H22">
        <f t="shared" si="0"/>
        <v>6.7574786909929352E-2</v>
      </c>
      <c r="I22">
        <f t="shared" si="1"/>
        <v>2365117.5418475275</v>
      </c>
      <c r="J22">
        <f>C22-I22</f>
        <v>10461343.841248961</v>
      </c>
    </row>
    <row r="23" spans="1:10" x14ac:dyDescent="0.25">
      <c r="A23" t="s">
        <v>2</v>
      </c>
      <c r="B23">
        <v>9.64</v>
      </c>
      <c r="C23" s="1">
        <f t="shared" si="2"/>
        <v>10461343.841248961</v>
      </c>
      <c r="D23">
        <v>0.5</v>
      </c>
      <c r="E23" s="1">
        <v>0.89</v>
      </c>
      <c r="F23">
        <f t="shared" si="3"/>
        <v>16.779026217228466</v>
      </c>
      <c r="G23">
        <f>0.5*(LN(C23/B23)-0.5)</f>
        <v>6.6986381870166323</v>
      </c>
      <c r="H23">
        <f t="shared" si="0"/>
        <v>6.3378775358490791E-2</v>
      </c>
      <c r="I23">
        <f t="shared" si="1"/>
        <v>2218257.1375471777</v>
      </c>
      <c r="J23">
        <f>C23-I23</f>
        <v>8243086.703701783</v>
      </c>
    </row>
    <row r="24" spans="1:10" x14ac:dyDescent="0.25">
      <c r="A24" t="s">
        <v>9</v>
      </c>
      <c r="B24">
        <v>6.65</v>
      </c>
      <c r="C24" s="1">
        <f t="shared" si="2"/>
        <v>8243086.703701783</v>
      </c>
      <c r="D24">
        <v>0.5</v>
      </c>
      <c r="E24" s="1">
        <v>0.3</v>
      </c>
      <c r="F24">
        <f t="shared" si="3"/>
        <v>18.445692883895134</v>
      </c>
      <c r="G24">
        <f>0.5*(LN(C24/B24)-0.5)</f>
        <v>6.7651342885183254</v>
      </c>
      <c r="H24">
        <f t="shared" si="0"/>
        <v>5.2787961907662141E-2</v>
      </c>
      <c r="I24">
        <f t="shared" si="1"/>
        <v>1847578.6667681749</v>
      </c>
      <c r="J24">
        <f>C24-I24</f>
        <v>6395508.0369336084</v>
      </c>
    </row>
    <row r="25" spans="1:10" x14ac:dyDescent="0.25">
      <c r="A25" t="s">
        <v>9</v>
      </c>
      <c r="B25">
        <v>6.65</v>
      </c>
      <c r="C25" s="1">
        <f t="shared" si="2"/>
        <v>6395508.0369336084</v>
      </c>
      <c r="D25">
        <v>0.5</v>
      </c>
      <c r="E25" s="1">
        <v>0.3</v>
      </c>
      <c r="F25">
        <f t="shared" si="3"/>
        <v>20.112359550561802</v>
      </c>
      <c r="G25">
        <f>0.5*(LN(C25/B25)-0.5)</f>
        <v>6.638244789003747</v>
      </c>
      <c r="H25">
        <f t="shared" si="0"/>
        <v>3.9483927534281107E-2</v>
      </c>
      <c r="I25">
        <f t="shared" si="1"/>
        <v>1381937.4636998388</v>
      </c>
      <c r="J25">
        <f>C25-I25</f>
        <v>5013570.5732337693</v>
      </c>
    </row>
    <row r="26" spans="1:10" x14ac:dyDescent="0.25">
      <c r="A26" t="s">
        <v>2</v>
      </c>
      <c r="B26">
        <v>9.64</v>
      </c>
      <c r="C26" s="1">
        <f t="shared" si="2"/>
        <v>5013570.5732337693</v>
      </c>
      <c r="D26">
        <v>0.5</v>
      </c>
      <c r="E26" s="1">
        <v>0.89</v>
      </c>
      <c r="F26">
        <f t="shared" si="3"/>
        <v>20.674157303370791</v>
      </c>
      <c r="G26">
        <f>0.5*(LN(C26/B26)-0.5)</f>
        <v>6.3308688999322067</v>
      </c>
      <c r="H26">
        <f t="shared" si="0"/>
        <v>3.1741111005796255E-2</v>
      </c>
      <c r="I26">
        <f t="shared" si="1"/>
        <v>1110938.8852028688</v>
      </c>
      <c r="J26">
        <f>C26-I26</f>
        <v>3902631.6880309004</v>
      </c>
    </row>
    <row r="27" spans="1:10" x14ac:dyDescent="0.25">
      <c r="A27" t="s">
        <v>2</v>
      </c>
      <c r="B27">
        <v>9.64</v>
      </c>
      <c r="C27" s="1">
        <f t="shared" si="2"/>
        <v>3902631.6880309004</v>
      </c>
      <c r="D27">
        <v>0.5</v>
      </c>
      <c r="E27" s="1">
        <v>0.89</v>
      </c>
      <c r="F27">
        <f t="shared" si="3"/>
        <v>21.23595505617978</v>
      </c>
      <c r="G27">
        <f>0.5*(LN(C27/B27)-0.5)</f>
        <v>6.205620283355298</v>
      </c>
      <c r="H27">
        <f t="shared" si="0"/>
        <v>2.6847261111502277E-2</v>
      </c>
      <c r="I27">
        <f t="shared" si="1"/>
        <v>939654.13890257967</v>
      </c>
      <c r="J27">
        <f>C27-I27</f>
        <v>2962977.549128321</v>
      </c>
    </row>
    <row r="28" spans="1:10" x14ac:dyDescent="0.25">
      <c r="A28" t="s">
        <v>2</v>
      </c>
      <c r="B28">
        <v>9.64</v>
      </c>
      <c r="C28" s="1">
        <f t="shared" si="2"/>
        <v>2962977.549128321</v>
      </c>
      <c r="D28">
        <v>0.5</v>
      </c>
      <c r="E28" s="1">
        <v>0.89</v>
      </c>
      <c r="F28">
        <f t="shared" si="3"/>
        <v>21.797752808988768</v>
      </c>
      <c r="G28">
        <f>0.5*(LN(C28/B28)-0.5)</f>
        <v>6.0678920704150316</v>
      </c>
      <c r="H28">
        <f t="shared" si="0"/>
        <v>2.2267091915876232E-2</v>
      </c>
      <c r="I28">
        <f t="shared" si="1"/>
        <v>779348.21705566812</v>
      </c>
      <c r="J28">
        <f>C28-I28</f>
        <v>2183629.3320726529</v>
      </c>
    </row>
    <row r="29" spans="1:10" x14ac:dyDescent="0.25">
      <c r="A29" t="s">
        <v>2</v>
      </c>
      <c r="B29">
        <v>9.64</v>
      </c>
      <c r="C29" s="1">
        <f t="shared" si="2"/>
        <v>2183629.3320726529</v>
      </c>
      <c r="D29">
        <v>0.5</v>
      </c>
      <c r="E29" s="1">
        <v>0.89</v>
      </c>
      <c r="F29">
        <f t="shared" si="3"/>
        <v>22.359550561797757</v>
      </c>
      <c r="G29">
        <f>0.5*(LN(C29/B29)-0.5)</f>
        <v>5.9152888865367492</v>
      </c>
      <c r="H29">
        <f t="shared" si="0"/>
        <v>1.806200391227231E-2</v>
      </c>
      <c r="I29">
        <f t="shared" si="1"/>
        <v>632170.13692953088</v>
      </c>
      <c r="J29">
        <f>C29-I29</f>
        <v>1551459.195143122</v>
      </c>
    </row>
    <row r="30" spans="1:10" x14ac:dyDescent="0.25">
      <c r="A30" t="s">
        <v>2</v>
      </c>
      <c r="B30">
        <v>9.64</v>
      </c>
      <c r="C30" s="1">
        <f t="shared" si="2"/>
        <v>1551459.195143122</v>
      </c>
      <c r="D30">
        <v>0.5</v>
      </c>
      <c r="E30" s="1">
        <v>0.89</v>
      </c>
      <c r="F30">
        <f t="shared" si="3"/>
        <v>22.921348314606746</v>
      </c>
      <c r="G30">
        <f>0.5*(LN(C30/B30)-0.5)</f>
        <v>5.7443926768200058</v>
      </c>
      <c r="H30">
        <f t="shared" si="0"/>
        <v>1.4273724278090844E-2</v>
      </c>
      <c r="I30">
        <f t="shared" si="1"/>
        <v>499580.34973317955</v>
      </c>
      <c r="J30">
        <f>C30-I30</f>
        <v>1051878.8454099423</v>
      </c>
    </row>
    <row r="31" spans="1:10" x14ac:dyDescent="0.25">
      <c r="A31" t="s">
        <v>2</v>
      </c>
      <c r="B31">
        <v>9.64</v>
      </c>
      <c r="C31" s="1">
        <f t="shared" si="2"/>
        <v>1051878.8454099423</v>
      </c>
      <c r="D31">
        <v>0.5</v>
      </c>
      <c r="E31" s="1">
        <v>0.89</v>
      </c>
      <c r="F31">
        <f t="shared" si="3"/>
        <v>23.483146067415735</v>
      </c>
      <c r="G31">
        <f>0.5*(LN(C31/B31)-0.5)</f>
        <v>5.5500836955325497</v>
      </c>
      <c r="H31">
        <f t="shared" si="0"/>
        <v>1.0925278325462312E-2</v>
      </c>
      <c r="I31">
        <f t="shared" si="1"/>
        <v>382384.7413911809</v>
      </c>
      <c r="J31">
        <f>C31-I31</f>
        <v>669494.10401876143</v>
      </c>
    </row>
    <row r="32" spans="1:10" x14ac:dyDescent="0.25">
      <c r="A32" t="s">
        <v>9</v>
      </c>
      <c r="B32">
        <v>6.65</v>
      </c>
      <c r="C32" s="1">
        <f t="shared" si="2"/>
        <v>669494.10401876143</v>
      </c>
      <c r="D32">
        <v>0.5</v>
      </c>
      <c r="E32" s="1">
        <v>0.3</v>
      </c>
      <c r="F32">
        <f t="shared" si="3"/>
        <v>25.149812734082403</v>
      </c>
      <c r="G32">
        <f>0.5*(LN(C32/B32)-0.5)</f>
        <v>5.5098303914313886</v>
      </c>
      <c r="H32">
        <f t="shared" si="0"/>
        <v>6.7447352678554669E-3</v>
      </c>
      <c r="I32">
        <f t="shared" si="1"/>
        <v>236065.73437494136</v>
      </c>
      <c r="J32">
        <f>C32-I32</f>
        <v>433428.3696438201</v>
      </c>
    </row>
    <row r="33" spans="1:10" x14ac:dyDescent="0.25">
      <c r="A33" t="s">
        <v>9</v>
      </c>
      <c r="B33">
        <v>6.65</v>
      </c>
      <c r="C33" s="1">
        <f t="shared" si="2"/>
        <v>433428.3696438201</v>
      </c>
      <c r="D33">
        <v>0.5</v>
      </c>
      <c r="E33" s="1">
        <v>0.3</v>
      </c>
      <c r="F33">
        <f t="shared" si="3"/>
        <v>26.816479400749071</v>
      </c>
      <c r="G33">
        <f>0.5*(LN(C33/B33)-0.5)</f>
        <v>5.2924324848063158</v>
      </c>
      <c r="H33">
        <f t="shared" si="0"/>
        <v>3.4931229814840151E-3</v>
      </c>
      <c r="I33">
        <f t="shared" si="1"/>
        <v>122259.30435194053</v>
      </c>
      <c r="J33">
        <f>C33-I33</f>
        <v>311169.06529187958</v>
      </c>
    </row>
    <row r="34" spans="1:10" x14ac:dyDescent="0.25">
      <c r="A34" t="s">
        <v>2</v>
      </c>
      <c r="B34">
        <v>9.64</v>
      </c>
      <c r="C34" s="1">
        <f t="shared" si="2"/>
        <v>311169.06529187958</v>
      </c>
      <c r="D34">
        <v>0.5</v>
      </c>
      <c r="E34" s="1">
        <v>0.89</v>
      </c>
      <c r="F34">
        <f t="shared" si="3"/>
        <v>27.378277153558059</v>
      </c>
      <c r="G34">
        <f>0.5*(LN(C34/B34)-0.5)</f>
        <v>4.9410852765669402</v>
      </c>
      <c r="H34">
        <f t="shared" si="0"/>
        <v>2.1533711021470806E-3</v>
      </c>
      <c r="I34">
        <f t="shared" si="1"/>
        <v>75367.988575147814</v>
      </c>
      <c r="J34">
        <f>C34-I34</f>
        <v>235801.07671673177</v>
      </c>
    </row>
    <row r="35" spans="1:10" x14ac:dyDescent="0.25">
      <c r="A35" t="s">
        <v>2</v>
      </c>
      <c r="B35">
        <v>9.64</v>
      </c>
      <c r="C35" s="1">
        <f t="shared" si="2"/>
        <v>235801.07671673177</v>
      </c>
      <c r="D35">
        <v>0.5</v>
      </c>
      <c r="E35" s="1">
        <v>0.89</v>
      </c>
      <c r="F35">
        <f t="shared" si="3"/>
        <v>27.940074906367048</v>
      </c>
      <c r="G35">
        <f>0.5*(LN(C35/B35)-0.5)</f>
        <v>4.8024113623406235</v>
      </c>
      <c r="H35">
        <f t="shared" si="0"/>
        <v>1.5748432786284374E-3</v>
      </c>
      <c r="I35">
        <f t="shared" si="1"/>
        <v>55119.51475199531</v>
      </c>
      <c r="J35">
        <f>C35-I35</f>
        <v>180681.56196473647</v>
      </c>
    </row>
    <row r="36" spans="1:10" x14ac:dyDescent="0.25">
      <c r="A36" t="s">
        <v>2</v>
      </c>
      <c r="B36">
        <v>9.64</v>
      </c>
      <c r="C36" s="1">
        <f t="shared" si="2"/>
        <v>180681.56196473647</v>
      </c>
      <c r="D36">
        <v>0.5</v>
      </c>
      <c r="E36" s="1">
        <v>0.89</v>
      </c>
      <c r="F36">
        <f t="shared" si="3"/>
        <v>28.501872659176037</v>
      </c>
      <c r="G36">
        <f>0.5*(LN(C36/B36)-0.5)</f>
        <v>4.6692851630159948</v>
      </c>
      <c r="H36">
        <f t="shared" si="0"/>
        <v>1.1454083521555045E-3</v>
      </c>
      <c r="I36">
        <f t="shared" si="1"/>
        <v>40089.292325442657</v>
      </c>
      <c r="J36">
        <f>C36-I36</f>
        <v>140592.26963929381</v>
      </c>
    </row>
    <row r="37" spans="1:10" x14ac:dyDescent="0.25">
      <c r="A37" t="s">
        <v>2</v>
      </c>
      <c r="B37">
        <v>9.64</v>
      </c>
      <c r="C37" s="1">
        <f t="shared" si="2"/>
        <v>140592.26963929381</v>
      </c>
      <c r="D37">
        <v>0.5</v>
      </c>
      <c r="E37" s="1">
        <v>0.89</v>
      </c>
      <c r="F37">
        <f t="shared" si="3"/>
        <v>29.063670411985026</v>
      </c>
      <c r="G37">
        <f>0.5*(LN(C37/B37)-0.5)</f>
        <v>4.5438490834981868</v>
      </c>
      <c r="H37">
        <f t="shared" si="0"/>
        <v>8.3111757904041211E-4</v>
      </c>
      <c r="I37">
        <f t="shared" si="1"/>
        <v>29089.115266414425</v>
      </c>
      <c r="J37">
        <f>C37-I37</f>
        <v>111503.15437287939</v>
      </c>
    </row>
    <row r="38" spans="1:10" x14ac:dyDescent="0.25">
      <c r="A38" t="s">
        <v>2</v>
      </c>
      <c r="B38">
        <v>9.64</v>
      </c>
      <c r="C38" s="1">
        <f t="shared" si="2"/>
        <v>111503.15437287939</v>
      </c>
      <c r="D38">
        <v>0.5</v>
      </c>
      <c r="E38" s="1">
        <v>0.89</v>
      </c>
      <c r="F38">
        <f t="shared" si="3"/>
        <v>29.625468164794015</v>
      </c>
      <c r="G38">
        <f>0.5*(LN(C38/B38)-0.5)</f>
        <v>4.4279435255997086</v>
      </c>
      <c r="H38">
        <f t="shared" si="0"/>
        <v>6.0356287425508269E-4</v>
      </c>
      <c r="I38">
        <f t="shared" si="1"/>
        <v>21124.700598927895</v>
      </c>
      <c r="J38">
        <f>C38-I38</f>
        <v>90378.453773951493</v>
      </c>
    </row>
    <row r="39" spans="1:10" x14ac:dyDescent="0.25">
      <c r="A39" t="s">
        <v>2</v>
      </c>
      <c r="B39">
        <v>9.64</v>
      </c>
      <c r="C39" s="1">
        <f t="shared" si="2"/>
        <v>90378.453773951493</v>
      </c>
      <c r="D39">
        <v>0.5</v>
      </c>
      <c r="E39" s="1">
        <v>0.89</v>
      </c>
      <c r="F39">
        <f t="shared" si="3"/>
        <v>30.187265917603003</v>
      </c>
      <c r="G39">
        <f>0.5*(LN(C39/B39)-0.5)</f>
        <v>4.3229200330705275</v>
      </c>
      <c r="H39">
        <f t="shared" si="0"/>
        <v>4.39936830845369E-4</v>
      </c>
      <c r="I39">
        <f t="shared" si="1"/>
        <v>15397.789079587916</v>
      </c>
      <c r="J39">
        <f>C39-I39</f>
        <v>74980.664694363571</v>
      </c>
    </row>
    <row r="40" spans="1:10" x14ac:dyDescent="0.25">
      <c r="A40" t="s">
        <v>9</v>
      </c>
      <c r="B40">
        <v>6.65</v>
      </c>
      <c r="C40" s="1">
        <f t="shared" si="2"/>
        <v>74980.664694363571</v>
      </c>
      <c r="D40">
        <v>0.5</v>
      </c>
      <c r="E40" s="1">
        <v>0.3</v>
      </c>
      <c r="F40">
        <f t="shared" si="3"/>
        <v>31.853932584269671</v>
      </c>
      <c r="G40">
        <f>0.5*(LN(C40/B40)-0.5)</f>
        <v>4.4151843502691746</v>
      </c>
      <c r="H40">
        <f t="shared" si="0"/>
        <v>2.690234586287016E-4</v>
      </c>
      <c r="I40">
        <f t="shared" si="1"/>
        <v>9415.8210520045559</v>
      </c>
      <c r="J40">
        <f>C40-I40</f>
        <v>65564.843642359017</v>
      </c>
    </row>
    <row r="41" spans="1:10" x14ac:dyDescent="0.25">
      <c r="A41" t="s">
        <v>9</v>
      </c>
      <c r="B41">
        <v>6.65</v>
      </c>
      <c r="C41" s="1">
        <f t="shared" si="2"/>
        <v>65564.843642359017</v>
      </c>
      <c r="D41">
        <v>0.5</v>
      </c>
      <c r="E41" s="1">
        <v>0.3</v>
      </c>
      <c r="F41">
        <f t="shared" si="3"/>
        <v>33.520599250936336</v>
      </c>
      <c r="G41">
        <f>0.5*(LN(C41/B41)-0.5)</f>
        <v>4.348089028260965</v>
      </c>
      <c r="H41">
        <f t="shared" si="0"/>
        <v>1.3482643465048946E-4</v>
      </c>
      <c r="I41">
        <f t="shared" si="1"/>
        <v>4718.9252127671307</v>
      </c>
      <c r="J41">
        <f>C41-I41</f>
        <v>60845.918429591889</v>
      </c>
    </row>
    <row r="42" spans="1:10" x14ac:dyDescent="0.25">
      <c r="A42" t="s">
        <v>2</v>
      </c>
      <c r="B42">
        <v>9.64</v>
      </c>
      <c r="C42" s="1">
        <f t="shared" si="2"/>
        <v>60845.918429591889</v>
      </c>
      <c r="D42">
        <v>0.5</v>
      </c>
      <c r="E42" s="1">
        <v>0.89</v>
      </c>
      <c r="F42">
        <f t="shared" si="3"/>
        <v>34.082397003745328</v>
      </c>
      <c r="G42">
        <f>0.5*(LN(C42/B42)-0.5)</f>
        <v>4.1250894558062088</v>
      </c>
      <c r="H42">
        <f t="shared" si="0"/>
        <v>8.2289132803194546E-5</v>
      </c>
      <c r="I42">
        <f t="shared" si="1"/>
        <v>2880.1196481118091</v>
      </c>
      <c r="J42">
        <f>C42-I42</f>
        <v>57965.79878148008</v>
      </c>
    </row>
    <row r="43" spans="1:10" x14ac:dyDescent="0.25">
      <c r="A43" t="s">
        <v>2</v>
      </c>
      <c r="B43">
        <v>9.64</v>
      </c>
      <c r="C43" s="1">
        <f t="shared" si="2"/>
        <v>57965.79878148008</v>
      </c>
      <c r="D43">
        <v>0.5</v>
      </c>
      <c r="E43" s="1">
        <v>0.89</v>
      </c>
      <c r="F43">
        <f t="shared" si="3"/>
        <v>34.644194756554313</v>
      </c>
      <c r="G43">
        <f>0.5*(LN(C43/B43)-0.5)</f>
        <v>4.1008436653986742</v>
      </c>
      <c r="H43">
        <f t="shared" si="0"/>
        <v>6.4376522521832085E-5</v>
      </c>
      <c r="I43">
        <f t="shared" si="1"/>
        <v>2253.1782882641228</v>
      </c>
      <c r="J43">
        <f>C43-I43</f>
        <v>55712.62049321596</v>
      </c>
    </row>
    <row r="44" spans="1:10" x14ac:dyDescent="0.25">
      <c r="A44" t="s">
        <v>2</v>
      </c>
      <c r="B44">
        <v>9.64</v>
      </c>
      <c r="C44" s="1">
        <f t="shared" si="2"/>
        <v>55712.62049321596</v>
      </c>
      <c r="D44">
        <v>0.5</v>
      </c>
      <c r="E44" s="1">
        <v>0.89</v>
      </c>
      <c r="F44">
        <f t="shared" si="3"/>
        <v>35.205992509363298</v>
      </c>
      <c r="G44">
        <f>0.5*(LN(C44/B44)-0.5)</f>
        <v>4.0810204356990427</v>
      </c>
      <c r="H44">
        <f t="shared" si="0"/>
        <v>5.0562671196458305E-5</v>
      </c>
      <c r="I44">
        <f t="shared" si="1"/>
        <v>1769.6934918760408</v>
      </c>
      <c r="J44">
        <f>C44-I44</f>
        <v>53942.927001339922</v>
      </c>
    </row>
    <row r="45" spans="1:10" x14ac:dyDescent="0.25">
      <c r="A45" t="s">
        <v>2</v>
      </c>
      <c r="B45">
        <v>9.64</v>
      </c>
      <c r="C45" s="1">
        <f t="shared" si="2"/>
        <v>53942.927001339922</v>
      </c>
      <c r="D45">
        <v>0.5</v>
      </c>
      <c r="E45" s="1">
        <v>0.89</v>
      </c>
      <c r="F45">
        <f t="shared" si="3"/>
        <v>35.767790262172284</v>
      </c>
      <c r="G45">
        <f>0.5*(LN(C45/B45)-0.5)</f>
        <v>4.0648803753104517</v>
      </c>
      <c r="H45">
        <f t="shared" si="0"/>
        <v>3.9842901031227883E-5</v>
      </c>
      <c r="I45">
        <f t="shared" si="1"/>
        <v>1394.5015360929758</v>
      </c>
      <c r="J45">
        <f>C45-I45</f>
        <v>52548.425465246946</v>
      </c>
    </row>
    <row r="46" spans="1:10" x14ac:dyDescent="0.25">
      <c r="A46" t="s">
        <v>2</v>
      </c>
      <c r="B46">
        <v>9.64</v>
      </c>
      <c r="C46" s="1">
        <f t="shared" si="2"/>
        <v>52548.425465246946</v>
      </c>
      <c r="D46">
        <v>0.5</v>
      </c>
      <c r="E46" s="1">
        <v>0.89</v>
      </c>
      <c r="F46">
        <f t="shared" si="3"/>
        <v>36.329588014981269</v>
      </c>
      <c r="G46">
        <f>0.5*(LN(C46/B46)-0.5)</f>
        <v>4.0517846523157068</v>
      </c>
      <c r="H46">
        <f t="shared" si="0"/>
        <v>3.1478861870116338E-5</v>
      </c>
      <c r="I46">
        <f t="shared" si="1"/>
        <v>1101.7601654540717</v>
      </c>
      <c r="J46">
        <f>C46-I46</f>
        <v>51446.665299792876</v>
      </c>
    </row>
    <row r="47" spans="1:10" x14ac:dyDescent="0.25">
      <c r="A47" t="s">
        <v>2</v>
      </c>
      <c r="B47">
        <v>9.64</v>
      </c>
      <c r="C47" s="1">
        <f t="shared" si="2"/>
        <v>51446.665299792876</v>
      </c>
      <c r="D47">
        <v>0.5</v>
      </c>
      <c r="E47" s="1">
        <v>0.89</v>
      </c>
      <c r="F47">
        <f t="shared" si="3"/>
        <v>36.891385767790254</v>
      </c>
      <c r="G47">
        <f>0.5*(LN(C47/B47)-0.5)</f>
        <v>4.041189908076138</v>
      </c>
      <c r="H47">
        <f t="shared" si="0"/>
        <v>2.4922669944289351E-5</v>
      </c>
      <c r="I47">
        <f t="shared" si="1"/>
        <v>872.29344805012727</v>
      </c>
      <c r="J47">
        <f>C47-I47</f>
        <v>50574.371851742748</v>
      </c>
    </row>
    <row r="48" spans="1:10" x14ac:dyDescent="0.25">
      <c r="A48" t="s">
        <v>9</v>
      </c>
      <c r="B48">
        <v>6.65</v>
      </c>
      <c r="C48" s="1">
        <f t="shared" si="2"/>
        <v>50574.371851742748</v>
      </c>
      <c r="D48">
        <v>0.5</v>
      </c>
      <c r="E48" s="1">
        <v>0.3</v>
      </c>
      <c r="F48">
        <f t="shared" si="3"/>
        <v>38.558052434456918</v>
      </c>
      <c r="G48">
        <f>0.5*(LN(C48/B48)-0.5)</f>
        <v>4.2182916935787222</v>
      </c>
      <c r="H48">
        <f t="shared" si="0"/>
        <v>1.6665153652549211E-5</v>
      </c>
      <c r="I48">
        <f t="shared" si="1"/>
        <v>583.28037783922241</v>
      </c>
      <c r="J48">
        <f>C48-I48</f>
        <v>49991.091473903529</v>
      </c>
    </row>
    <row r="49" spans="1:10" x14ac:dyDescent="0.25">
      <c r="A49" t="s">
        <v>9</v>
      </c>
      <c r="B49">
        <v>6.65</v>
      </c>
      <c r="C49" s="1">
        <f t="shared" si="2"/>
        <v>49991.091473903529</v>
      </c>
      <c r="D49">
        <v>0.5</v>
      </c>
      <c r="E49" s="1">
        <v>0.3</v>
      </c>
      <c r="F49">
        <f t="shared" si="3"/>
        <v>40.224719101123583</v>
      </c>
      <c r="G49">
        <f>0.5*(LN(C49/B49)-0.5)</f>
        <v>4.2124916216731689</v>
      </c>
      <c r="H49">
        <f t="shared" si="0"/>
        <v>8.5856203667775169E-6</v>
      </c>
      <c r="I49">
        <f t="shared" si="1"/>
        <v>300.49671283721307</v>
      </c>
      <c r="J49">
        <f>C49-I49</f>
        <v>49690.594761066313</v>
      </c>
    </row>
    <row r="50" spans="1:10" x14ac:dyDescent="0.25">
      <c r="G50" s="2" t="s">
        <v>12</v>
      </c>
      <c r="H50">
        <f>SUM(H2:H49)</f>
        <v>0.99858026872111227</v>
      </c>
      <c r="I50">
        <f>SUM(I2:I49)</f>
        <v>34950309.405238949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55F65-6313-4A6C-A6E2-74D4546841FC}">
  <dimension ref="A1:J341"/>
  <sheetViews>
    <sheetView tabSelected="1" topLeftCell="A209" workbookViewId="0">
      <selection activeCell="G216" sqref="G216"/>
    </sheetView>
  </sheetViews>
  <sheetFormatPr defaultRowHeight="15" x14ac:dyDescent="0.25"/>
  <cols>
    <col min="1" max="1" width="23.42578125" customWidth="1"/>
    <col min="2" max="2" width="9.28515625" bestFit="1" customWidth="1"/>
    <col min="3" max="3" width="14.85546875" customWidth="1"/>
    <col min="4" max="8" width="9.28515625" bestFit="1" customWidth="1"/>
    <col min="9" max="9" width="12.42578125" bestFit="1" customWidth="1"/>
    <col min="10" max="10" width="14.140625" customWidth="1"/>
  </cols>
  <sheetData>
    <row r="1" spans="1:10" x14ac:dyDescent="0.25">
      <c r="A1" s="1" t="s">
        <v>16</v>
      </c>
      <c r="B1" t="s">
        <v>7</v>
      </c>
      <c r="C1" t="s">
        <v>0</v>
      </c>
      <c r="D1" t="s">
        <v>3</v>
      </c>
      <c r="E1" t="s">
        <v>20</v>
      </c>
      <c r="F1" t="s">
        <v>5</v>
      </c>
      <c r="G1" s="1" t="s">
        <v>13</v>
      </c>
      <c r="H1" t="s">
        <v>18</v>
      </c>
      <c r="I1" t="s">
        <v>17</v>
      </c>
      <c r="J1" t="s">
        <v>14</v>
      </c>
    </row>
    <row r="2" spans="1:10" x14ac:dyDescent="0.25">
      <c r="A2" t="s">
        <v>15</v>
      </c>
      <c r="B2">
        <v>7.97</v>
      </c>
      <c r="C2" s="1">
        <v>35000000</v>
      </c>
      <c r="D2">
        <v>0.5</v>
      </c>
      <c r="E2" s="1">
        <v>9.9459999999999997</v>
      </c>
      <c r="F2">
        <f>D2/E2</f>
        <v>5.0271465915946112E-2</v>
      </c>
      <c r="G2">
        <f>0.5*(LN(C2/B2)-0.5)</f>
        <v>7.3975870633257825</v>
      </c>
      <c r="H2">
        <f>(POWER(F2,G2)*EXP(-F2/2))/(POWER(2,G2+1)*_xlfn.GAMMA(G2+1))</f>
        <v>6.296635399487244E-17</v>
      </c>
      <c r="I2">
        <f>C2*H2</f>
        <v>2.2038223898205354E-9</v>
      </c>
      <c r="J2">
        <f>C2-I2</f>
        <v>35000000</v>
      </c>
    </row>
    <row r="3" spans="1:10" x14ac:dyDescent="0.25">
      <c r="A3" t="s">
        <v>15</v>
      </c>
      <c r="B3">
        <f>$B$2</f>
        <v>7.97</v>
      </c>
      <c r="C3" s="1">
        <f>J2</f>
        <v>35000000</v>
      </c>
      <c r="D3">
        <f>$D$2</f>
        <v>0.5</v>
      </c>
      <c r="E3" s="1">
        <f>$E$2</f>
        <v>9.9459999999999997</v>
      </c>
      <c r="F3">
        <f>D3/E3+F2</f>
        <v>0.10054293183189222</v>
      </c>
      <c r="G3">
        <f>0.5*(LN(C3/B3)-0.5)</f>
        <v>7.3975870633257825</v>
      </c>
      <c r="H3">
        <f t="shared" ref="H3" si="0">(POWER(F3,G3)*EXP(-F3/2))/(POWER(2,G3+1)*_xlfn.GAMMA(G3+1))</f>
        <v>1.0353515502392815E-14</v>
      </c>
      <c r="I3">
        <f t="shared" ref="I3" si="1">$C$2*H3</f>
        <v>3.6237304258374854E-7</v>
      </c>
      <c r="J3">
        <f>C3-I3</f>
        <v>34999999.999999635</v>
      </c>
    </row>
    <row r="4" spans="1:10" x14ac:dyDescent="0.25">
      <c r="A4" t="s">
        <v>15</v>
      </c>
      <c r="B4">
        <f>$B$2</f>
        <v>7.97</v>
      </c>
      <c r="C4" s="1">
        <f>J3</f>
        <v>34999999.999999635</v>
      </c>
      <c r="D4">
        <f>$D$2</f>
        <v>0.5</v>
      </c>
      <c r="E4" s="1">
        <f>$E$2</f>
        <v>9.9459999999999997</v>
      </c>
      <c r="F4">
        <f>D4/E4+F3</f>
        <v>0.15081439774783834</v>
      </c>
      <c r="G4">
        <f>0.5*(LN(C4/B4)-0.5)</f>
        <v>7.3975870633257772</v>
      </c>
      <c r="H4">
        <f t="shared" ref="H4:H13" si="2">(POWER(F4,G4)*EXP(-F4/2))/(POWER(2,G4+1)*_xlfn.GAMMA(G4+1))</f>
        <v>2.0268515805101794E-13</v>
      </c>
      <c r="I4">
        <f t="shared" ref="I4:I13" si="3">$C$2*H4</f>
        <v>7.0939805317856281E-6</v>
      </c>
      <c r="J4">
        <f>C4-I4</f>
        <v>34999999.999992542</v>
      </c>
    </row>
    <row r="5" spans="1:10" x14ac:dyDescent="0.25">
      <c r="A5" t="s">
        <v>15</v>
      </c>
      <c r="B5">
        <f>$B$2</f>
        <v>7.97</v>
      </c>
      <c r="C5" s="1">
        <f>J4</f>
        <v>34999999.999992542</v>
      </c>
      <c r="D5">
        <f>$D$2</f>
        <v>0.5</v>
      </c>
      <c r="E5" s="1">
        <f>$E$2</f>
        <v>9.9459999999999997</v>
      </c>
      <c r="F5">
        <f>D5/E5+F4</f>
        <v>0.20108586366378445</v>
      </c>
      <c r="G5">
        <f>0.5*(LN(C5/B5)-0.5)</f>
        <v>7.3975870633256759</v>
      </c>
      <c r="H5">
        <f t="shared" si="2"/>
        <v>1.660163339969286E-12</v>
      </c>
      <c r="I5">
        <f t="shared" si="3"/>
        <v>5.810571689892501E-5</v>
      </c>
      <c r="J5">
        <f>C5-I5</f>
        <v>34999999.999934435</v>
      </c>
    </row>
    <row r="6" spans="1:10" x14ac:dyDescent="0.25">
      <c r="A6" t="s">
        <v>15</v>
      </c>
      <c r="B6">
        <f>$B$2</f>
        <v>7.97</v>
      </c>
      <c r="C6" s="1">
        <f>J5</f>
        <v>34999999.999934435</v>
      </c>
      <c r="D6">
        <f>$D$2</f>
        <v>0.5</v>
      </c>
      <c r="E6" s="1">
        <f>$E$2</f>
        <v>9.9459999999999997</v>
      </c>
      <c r="F6">
        <f>D6/E6+F5</f>
        <v>0.25135732957973056</v>
      </c>
      <c r="G6">
        <f>0.5*(LN(C6/B6)-0.5)</f>
        <v>7.3975870633248455</v>
      </c>
      <c r="H6">
        <f t="shared" si="2"/>
        <v>8.4359649737591757E-12</v>
      </c>
      <c r="I6">
        <f t="shared" si="3"/>
        <v>2.9525877408157115E-4</v>
      </c>
      <c r="J6">
        <f>C6-I6</f>
        <v>34999999.999639176</v>
      </c>
    </row>
    <row r="7" spans="1:10" x14ac:dyDescent="0.25">
      <c r="A7" t="s">
        <v>15</v>
      </c>
      <c r="B7">
        <f>$B$2</f>
        <v>7.97</v>
      </c>
      <c r="C7" s="1">
        <f>J6</f>
        <v>34999999.999639176</v>
      </c>
      <c r="D7">
        <f>$D$2</f>
        <v>0.5</v>
      </c>
      <c r="E7" s="1">
        <f>$E$2</f>
        <v>9.9459999999999997</v>
      </c>
      <c r="F7">
        <f>D7/E7+F6</f>
        <v>0.30162879549567667</v>
      </c>
      <c r="G7">
        <f>0.5*(LN(C7/B7)-0.5)</f>
        <v>7.3975870633206275</v>
      </c>
      <c r="H7">
        <f t="shared" si="2"/>
        <v>3.1693384478511801E-11</v>
      </c>
      <c r="I7">
        <f t="shared" si="3"/>
        <v>1.109268456747913E-3</v>
      </c>
      <c r="J7">
        <f>C7-I7</f>
        <v>34999999.998529911</v>
      </c>
    </row>
    <row r="8" spans="1:10" x14ac:dyDescent="0.25">
      <c r="A8" t="s">
        <v>15</v>
      </c>
      <c r="B8">
        <f>$B$2</f>
        <v>7.97</v>
      </c>
      <c r="C8" s="1">
        <f>J7</f>
        <v>34999999.998529911</v>
      </c>
      <c r="D8">
        <f>$D$2</f>
        <v>0.5</v>
      </c>
      <c r="E8" s="1">
        <f>$E$2</f>
        <v>9.9459999999999997</v>
      </c>
      <c r="F8">
        <f>D8/E8+F7</f>
        <v>0.35190026141162278</v>
      </c>
      <c r="G8">
        <f>0.5*(LN(C8/B8)-0.5)</f>
        <v>7.3975870633047807</v>
      </c>
      <c r="H8">
        <f t="shared" si="2"/>
        <v>9.6671178713442757E-11</v>
      </c>
      <c r="I8">
        <f t="shared" si="3"/>
        <v>3.3834912549704963E-3</v>
      </c>
      <c r="J8">
        <f>C8-I8</f>
        <v>34999999.995146416</v>
      </c>
    </row>
    <row r="9" spans="1:10" x14ac:dyDescent="0.25">
      <c r="A9" t="s">
        <v>15</v>
      </c>
      <c r="B9">
        <f>$B$2</f>
        <v>7.97</v>
      </c>
      <c r="C9" s="1">
        <f>J8</f>
        <v>34999999.995146416</v>
      </c>
      <c r="D9">
        <f>$D$2</f>
        <v>0.5</v>
      </c>
      <c r="E9" s="1">
        <f>$E$2</f>
        <v>9.9459999999999997</v>
      </c>
      <c r="F9">
        <f>D9/E9+F8</f>
        <v>0.4021717273275689</v>
      </c>
      <c r="G9">
        <f>0.5*(LN(C9/B9)-0.5)</f>
        <v>7.3975870632564451</v>
      </c>
      <c r="H9">
        <f t="shared" si="2"/>
        <v>2.5315189382143954E-10</v>
      </c>
      <c r="I9">
        <f t="shared" si="3"/>
        <v>8.8603162837503843E-3</v>
      </c>
      <c r="J9">
        <f>C9-I9</f>
        <v>34999999.986286096</v>
      </c>
    </row>
    <row r="10" spans="1:10" x14ac:dyDescent="0.25">
      <c r="A10" t="s">
        <v>15</v>
      </c>
      <c r="B10">
        <f>$B$2</f>
        <v>7.97</v>
      </c>
      <c r="C10" s="1">
        <f>J9</f>
        <v>34999999.986286096</v>
      </c>
      <c r="D10">
        <f>$D$2</f>
        <v>0.5</v>
      </c>
      <c r="E10" s="1">
        <f>$E$2</f>
        <v>9.9459999999999997</v>
      </c>
      <c r="F10">
        <f>D10/E10+F9</f>
        <v>0.45244319324351501</v>
      </c>
      <c r="G10">
        <f>0.5*(LN(C10/B10)-0.5)</f>
        <v>7.397587063129869</v>
      </c>
      <c r="H10">
        <f t="shared" si="2"/>
        <v>5.9002458631232323E-10</v>
      </c>
      <c r="I10">
        <f t="shared" si="3"/>
        <v>2.0650860520931312E-2</v>
      </c>
      <c r="J10">
        <f>C10-I10</f>
        <v>34999999.965635233</v>
      </c>
    </row>
    <row r="11" spans="1:10" x14ac:dyDescent="0.25">
      <c r="A11" t="s">
        <v>15</v>
      </c>
      <c r="B11">
        <f>$B$2</f>
        <v>7.97</v>
      </c>
      <c r="C11" s="1">
        <f>J10</f>
        <v>34999999.965635233</v>
      </c>
      <c r="D11">
        <f>$D$2</f>
        <v>0.5</v>
      </c>
      <c r="E11" s="1">
        <f>$E$2</f>
        <v>9.9459999999999997</v>
      </c>
      <c r="F11">
        <f>D11/E11+F10</f>
        <v>0.50271465915946112</v>
      </c>
      <c r="G11">
        <f>0.5*(LN(C11/B11)-0.5)</f>
        <v>7.397587062834857</v>
      </c>
      <c r="H11">
        <f t="shared" si="2"/>
        <v>1.2544368972202198E-9</v>
      </c>
      <c r="I11">
        <f t="shared" si="3"/>
        <v>4.3905291402707693E-2</v>
      </c>
      <c r="J11">
        <f>C11-I11</f>
        <v>34999999.921729945</v>
      </c>
    </row>
    <row r="12" spans="1:10" x14ac:dyDescent="0.25">
      <c r="A12" s="3" t="s">
        <v>19</v>
      </c>
      <c r="B12" s="3">
        <v>94.11</v>
      </c>
      <c r="C12" s="1">
        <f>J11</f>
        <v>34999999.921729945</v>
      </c>
      <c r="D12" s="3">
        <v>0.5</v>
      </c>
      <c r="E12" s="3">
        <v>78.8</v>
      </c>
      <c r="F12">
        <f>D12/E12+F11</f>
        <v>0.50905983682443579</v>
      </c>
      <c r="G12">
        <f>0.5*(LN(C12/B12)-0.5)</f>
        <v>6.1631971531733525</v>
      </c>
      <c r="H12">
        <f t="shared" si="2"/>
        <v>8.6085978150726807E-8</v>
      </c>
      <c r="I12">
        <f t="shared" si="3"/>
        <v>3.0130092352754381</v>
      </c>
      <c r="J12">
        <f>C12-I12</f>
        <v>34999996.908720709</v>
      </c>
    </row>
    <row r="13" spans="1:10" x14ac:dyDescent="0.25">
      <c r="A13" s="3" t="s">
        <v>19</v>
      </c>
      <c r="B13" s="3">
        <f>$B$12</f>
        <v>94.11</v>
      </c>
      <c r="C13" s="1">
        <f>J12</f>
        <v>34999996.908720709</v>
      </c>
      <c r="D13" s="3">
        <f>$D$12</f>
        <v>0.5</v>
      </c>
      <c r="E13" s="3">
        <f>$E$12</f>
        <v>78.8</v>
      </c>
      <c r="F13">
        <f>D13/E13+F12</f>
        <v>0.51540501448941045</v>
      </c>
      <c r="G13">
        <f>0.5*(LN(C13/B13)-0.5)</f>
        <v>6.1631971101303611</v>
      </c>
      <c r="H13">
        <f t="shared" si="2"/>
        <v>9.2621421967026279E-8</v>
      </c>
      <c r="I13">
        <f t="shared" si="3"/>
        <v>3.2417497688459198</v>
      </c>
      <c r="J13">
        <f>C13-I13</f>
        <v>34999993.666970938</v>
      </c>
    </row>
    <row r="14" spans="1:10" x14ac:dyDescent="0.25">
      <c r="A14" s="3" t="s">
        <v>19</v>
      </c>
      <c r="B14" s="3">
        <f t="shared" ref="B14:B21" si="4">$B$12</f>
        <v>94.11</v>
      </c>
      <c r="C14" s="1">
        <f t="shared" ref="C14:C21" si="5">J13</f>
        <v>34999993.666970938</v>
      </c>
      <c r="D14" s="3">
        <f t="shared" ref="D14:D21" si="6">$D$12</f>
        <v>0.5</v>
      </c>
      <c r="E14" s="3">
        <f t="shared" ref="E14:E21" si="7">$E$12</f>
        <v>78.8</v>
      </c>
      <c r="F14">
        <f t="shared" ref="F14:F21" si="8">D14/E14+F13</f>
        <v>0.52175019215438512</v>
      </c>
      <c r="G14">
        <f t="shared" ref="G14:G21" si="9">0.5*(LN(C14/B14)-0.5)</f>
        <v>6.1631970638196441</v>
      </c>
      <c r="H14">
        <f t="shared" ref="H14:H30" si="10">(POWER(F14,G14)*EXP(-F14/2))/(POWER(2,G14+1)*_xlfn.GAMMA(G14+1))</f>
        <v>9.9559972055269155E-8</v>
      </c>
      <c r="I14">
        <f t="shared" ref="I14:I30" si="11">$C$2*H14</f>
        <v>3.4845990219344203</v>
      </c>
      <c r="J14">
        <f t="shared" ref="J14:J21" si="12">C14-I14</f>
        <v>34999990.182371914</v>
      </c>
    </row>
    <row r="15" spans="1:10" x14ac:dyDescent="0.25">
      <c r="A15" s="3" t="s">
        <v>19</v>
      </c>
      <c r="B15" s="3">
        <f t="shared" si="4"/>
        <v>94.11</v>
      </c>
      <c r="C15" s="1">
        <f t="shared" si="5"/>
        <v>34999990.182371914</v>
      </c>
      <c r="D15" s="3">
        <f t="shared" si="6"/>
        <v>0.5</v>
      </c>
      <c r="E15" s="3">
        <f t="shared" si="7"/>
        <v>78.8</v>
      </c>
      <c r="F15">
        <f t="shared" si="8"/>
        <v>0.52809536981935978</v>
      </c>
      <c r="G15">
        <f t="shared" si="9"/>
        <v>6.1631970140396461</v>
      </c>
      <c r="H15">
        <f t="shared" si="10"/>
        <v>1.0692079835271919E-7</v>
      </c>
      <c r="I15">
        <f t="shared" si="11"/>
        <v>3.7422279423451714</v>
      </c>
      <c r="J15">
        <f t="shared" si="12"/>
        <v>34999986.440143973</v>
      </c>
    </row>
    <row r="16" spans="1:10" x14ac:dyDescent="0.25">
      <c r="A16" s="3" t="s">
        <v>19</v>
      </c>
      <c r="B16" s="3">
        <f t="shared" si="4"/>
        <v>94.11</v>
      </c>
      <c r="C16" s="1">
        <f t="shared" si="5"/>
        <v>34999986.440143973</v>
      </c>
      <c r="D16" s="3">
        <f t="shared" si="6"/>
        <v>0.5</v>
      </c>
      <c r="E16" s="3">
        <f t="shared" si="7"/>
        <v>78.8</v>
      </c>
      <c r="F16">
        <f t="shared" si="8"/>
        <v>0.53444054748433445</v>
      </c>
      <c r="G16">
        <f t="shared" si="9"/>
        <v>6.1631969605792287</v>
      </c>
      <c r="H16">
        <f t="shared" si="10"/>
        <v>1.1472370976248689E-7</v>
      </c>
      <c r="I16">
        <f t="shared" si="11"/>
        <v>4.0153298416870413</v>
      </c>
      <c r="J16">
        <f t="shared" si="12"/>
        <v>34999982.424814127</v>
      </c>
    </row>
    <row r="17" spans="1:10" x14ac:dyDescent="0.25">
      <c r="A17" s="3" t="s">
        <v>19</v>
      </c>
      <c r="B17" s="3">
        <f t="shared" si="4"/>
        <v>94.11</v>
      </c>
      <c r="C17" s="1">
        <f t="shared" si="5"/>
        <v>34999982.424814127</v>
      </c>
      <c r="D17" s="3">
        <f t="shared" si="6"/>
        <v>0.5</v>
      </c>
      <c r="E17" s="3">
        <f t="shared" si="7"/>
        <v>78.8</v>
      </c>
      <c r="F17">
        <f t="shared" si="8"/>
        <v>0.54078572514930912</v>
      </c>
      <c r="G17">
        <f t="shared" si="9"/>
        <v>6.163196903217349</v>
      </c>
      <c r="H17">
        <f t="shared" si="10"/>
        <v>1.2298916593529874E-7</v>
      </c>
      <c r="I17">
        <f t="shared" si="11"/>
        <v>4.3046208077354562</v>
      </c>
      <c r="J17">
        <f t="shared" si="12"/>
        <v>34999978.120193318</v>
      </c>
    </row>
    <row r="18" spans="1:10" x14ac:dyDescent="0.25">
      <c r="A18" s="3" t="s">
        <v>19</v>
      </c>
      <c r="B18" s="3">
        <f t="shared" si="4"/>
        <v>94.11</v>
      </c>
      <c r="C18" s="1">
        <f t="shared" si="5"/>
        <v>34999978.120193318</v>
      </c>
      <c r="D18" s="3">
        <f t="shared" si="6"/>
        <v>0.5</v>
      </c>
      <c r="E18" s="3">
        <f t="shared" si="7"/>
        <v>78.8</v>
      </c>
      <c r="F18">
        <f t="shared" si="8"/>
        <v>0.54713090281428378</v>
      </c>
      <c r="G18">
        <f t="shared" si="9"/>
        <v>6.1631968417227307</v>
      </c>
      <c r="H18">
        <f t="shared" si="10"/>
        <v>1.3173828905504833E-7</v>
      </c>
      <c r="I18">
        <f t="shared" si="11"/>
        <v>4.610840116926691</v>
      </c>
      <c r="J18">
        <f t="shared" si="12"/>
        <v>34999973.509353198</v>
      </c>
    </row>
    <row r="19" spans="1:10" x14ac:dyDescent="0.25">
      <c r="A19" s="3" t="s">
        <v>19</v>
      </c>
      <c r="B19" s="3">
        <f t="shared" si="4"/>
        <v>94.11</v>
      </c>
      <c r="C19" s="1">
        <f t="shared" si="5"/>
        <v>34999973.509353198</v>
      </c>
      <c r="D19" s="3">
        <f t="shared" si="6"/>
        <v>0.5</v>
      </c>
      <c r="E19" s="3">
        <f t="shared" si="7"/>
        <v>78.8</v>
      </c>
      <c r="F19">
        <f t="shared" si="8"/>
        <v>0.55347608047925845</v>
      </c>
      <c r="G19">
        <f t="shared" si="9"/>
        <v>6.1631967758535406</v>
      </c>
      <c r="H19">
        <f t="shared" si="10"/>
        <v>1.4099287562548165E-7</v>
      </c>
      <c r="I19">
        <f t="shared" si="11"/>
        <v>4.9347506468918576</v>
      </c>
      <c r="J19">
        <f t="shared" si="12"/>
        <v>34999968.574602552</v>
      </c>
    </row>
    <row r="20" spans="1:10" x14ac:dyDescent="0.25">
      <c r="A20" s="3" t="s">
        <v>19</v>
      </c>
      <c r="B20" s="3">
        <f t="shared" si="4"/>
        <v>94.11</v>
      </c>
      <c r="C20" s="1">
        <f t="shared" si="5"/>
        <v>34999968.574602552</v>
      </c>
      <c r="D20" s="3">
        <f t="shared" si="6"/>
        <v>0.5</v>
      </c>
      <c r="E20" s="3">
        <f t="shared" si="7"/>
        <v>78.8</v>
      </c>
      <c r="F20">
        <f t="shared" si="8"/>
        <v>0.55982125814423311</v>
      </c>
      <c r="G20">
        <f t="shared" si="9"/>
        <v>6.1631967053570449</v>
      </c>
      <c r="H20">
        <f t="shared" si="10"/>
        <v>1.5077540825542673E-7</v>
      </c>
      <c r="I20">
        <f t="shared" si="11"/>
        <v>5.2771392889399351</v>
      </c>
      <c r="J20">
        <f t="shared" si="12"/>
        <v>34999963.297463261</v>
      </c>
    </row>
    <row r="21" spans="1:10" x14ac:dyDescent="0.25">
      <c r="A21" s="3" t="s">
        <v>19</v>
      </c>
      <c r="B21" s="3">
        <f t="shared" si="4"/>
        <v>94.11</v>
      </c>
      <c r="C21" s="1">
        <f t="shared" si="5"/>
        <v>34999963.297463261</v>
      </c>
      <c r="D21" s="3">
        <f t="shared" si="6"/>
        <v>0.5</v>
      </c>
      <c r="E21" s="3">
        <f t="shared" si="7"/>
        <v>78.8</v>
      </c>
      <c r="F21">
        <f t="shared" si="8"/>
        <v>0.56616643580920778</v>
      </c>
      <c r="G21">
        <f t="shared" si="9"/>
        <v>6.1631966299692671</v>
      </c>
      <c r="H21">
        <f t="shared" si="10"/>
        <v>1.6110906743999216E-7</v>
      </c>
      <c r="I21">
        <f t="shared" si="11"/>
        <v>5.6388173603997256</v>
      </c>
      <c r="J21">
        <f t="shared" si="12"/>
        <v>34999957.658645898</v>
      </c>
    </row>
    <row r="22" spans="1:10" x14ac:dyDescent="0.25">
      <c r="A22" t="s">
        <v>15</v>
      </c>
      <c r="B22">
        <f>$B$2</f>
        <v>7.97</v>
      </c>
      <c r="C22" s="1">
        <f>J21</f>
        <v>34999957.658645898</v>
      </c>
      <c r="D22">
        <f>$D$2</f>
        <v>0.5</v>
      </c>
      <c r="E22" s="1">
        <f>$E$2</f>
        <v>9.9459999999999997</v>
      </c>
      <c r="F22">
        <f>D22/E22+F21</f>
        <v>0.61643790172515389</v>
      </c>
      <c r="G22">
        <f>0.5*(LN(C22/B22)-0.5)</f>
        <v>7.397586458448929</v>
      </c>
      <c r="H22">
        <f t="shared" si="10"/>
        <v>5.3572618759986625E-9</v>
      </c>
      <c r="I22">
        <f t="shared" si="11"/>
        <v>0.18750416565995318</v>
      </c>
      <c r="J22">
        <f>C22-I22</f>
        <v>34999957.471141733</v>
      </c>
    </row>
    <row r="23" spans="1:10" x14ac:dyDescent="0.25">
      <c r="A23" t="s">
        <v>15</v>
      </c>
      <c r="B23">
        <f>$B$2</f>
        <v>7.97</v>
      </c>
      <c r="C23" s="1">
        <f>J22</f>
        <v>34999957.471141733</v>
      </c>
      <c r="D23">
        <f>$D$2</f>
        <v>0.5</v>
      </c>
      <c r="E23" s="1">
        <f>$E$2</f>
        <v>9.9459999999999997</v>
      </c>
      <c r="F23">
        <f>D23/E23+F22</f>
        <v>0.6667093676411</v>
      </c>
      <c r="G23">
        <f>0.5*(LN(C23/B23)-0.5)</f>
        <v>7.3975864557702948</v>
      </c>
      <c r="H23">
        <f t="shared" si="10"/>
        <v>9.3302622587288845E-9</v>
      </c>
      <c r="I23">
        <f t="shared" si="11"/>
        <v>0.32655917905551096</v>
      </c>
      <c r="J23">
        <f>C23-I23</f>
        <v>34999957.144582555</v>
      </c>
    </row>
    <row r="24" spans="1:10" x14ac:dyDescent="0.25">
      <c r="A24" t="s">
        <v>15</v>
      </c>
      <c r="B24">
        <f>$B$2</f>
        <v>7.97</v>
      </c>
      <c r="C24" s="1">
        <f>J23</f>
        <v>34999957.144582555</v>
      </c>
      <c r="D24">
        <f>$D$2</f>
        <v>0.5</v>
      </c>
      <c r="E24" s="1">
        <f>$E$2</f>
        <v>9.9459999999999997</v>
      </c>
      <c r="F24">
        <f>D24/E24+F23</f>
        <v>0.71698083355704612</v>
      </c>
      <c r="G24">
        <f>0.5*(LN(C24/B24)-0.5)</f>
        <v>7.3975864511051581</v>
      </c>
      <c r="H24">
        <f t="shared" si="10"/>
        <v>1.5578536910094065E-8</v>
      </c>
      <c r="I24">
        <f t="shared" si="11"/>
        <v>0.54524879185329223</v>
      </c>
      <c r="J24">
        <f>C24-I24</f>
        <v>34999956.599333763</v>
      </c>
    </row>
    <row r="25" spans="1:10" x14ac:dyDescent="0.25">
      <c r="A25" t="s">
        <v>15</v>
      </c>
      <c r="B25">
        <f>$B$2</f>
        <v>7.97</v>
      </c>
      <c r="C25" s="1">
        <f>J24</f>
        <v>34999956.599333763</v>
      </c>
      <c r="D25">
        <f>$D$2</f>
        <v>0.5</v>
      </c>
      <c r="E25" s="1">
        <f>$E$2</f>
        <v>9.9459999999999997</v>
      </c>
      <c r="F25">
        <f>D25/E25+F24</f>
        <v>0.76725229947299223</v>
      </c>
      <c r="G25">
        <f>0.5*(LN(C25/B25)-0.5)</f>
        <v>7.3975864433158804</v>
      </c>
      <c r="H25">
        <f t="shared" si="10"/>
        <v>2.5079920985060273E-8</v>
      </c>
      <c r="I25">
        <f t="shared" si="11"/>
        <v>0.87779723447710956</v>
      </c>
      <c r="J25">
        <f>C25-I25</f>
        <v>34999955.721536532</v>
      </c>
    </row>
    <row r="26" spans="1:10" x14ac:dyDescent="0.25">
      <c r="A26" t="s">
        <v>15</v>
      </c>
      <c r="B26">
        <f>$B$2</f>
        <v>7.97</v>
      </c>
      <c r="C26" s="1">
        <f>J25</f>
        <v>34999955.721536532</v>
      </c>
      <c r="D26">
        <f>$D$2</f>
        <v>0.5</v>
      </c>
      <c r="E26" s="1">
        <f>$E$2</f>
        <v>9.9459999999999997</v>
      </c>
      <c r="F26">
        <f>D26/E26+F25</f>
        <v>0.81752376538893834</v>
      </c>
      <c r="G26">
        <f>0.5*(LN(C26/B26)-0.5)</f>
        <v>7.3975864307759043</v>
      </c>
      <c r="H26">
        <f t="shared" si="10"/>
        <v>3.9111415709988954E-8</v>
      </c>
      <c r="I26">
        <f t="shared" si="11"/>
        <v>1.3688995498496135</v>
      </c>
      <c r="J26">
        <f>C26-I26</f>
        <v>34999954.352636985</v>
      </c>
    </row>
    <row r="27" spans="1:10" x14ac:dyDescent="0.25">
      <c r="A27" t="s">
        <v>15</v>
      </c>
      <c r="B27">
        <f>$B$2</f>
        <v>7.97</v>
      </c>
      <c r="C27" s="1">
        <f>J26</f>
        <v>34999954.352636985</v>
      </c>
      <c r="D27">
        <f>$D$2</f>
        <v>0.5</v>
      </c>
      <c r="E27" s="1">
        <f>$E$2</f>
        <v>9.9459999999999997</v>
      </c>
      <c r="F27">
        <f>D27/E27+F26</f>
        <v>0.86779523130488445</v>
      </c>
      <c r="G27">
        <f>0.5*(LN(C27/B27)-0.5)</f>
        <v>7.3975864112201712</v>
      </c>
      <c r="H27">
        <f t="shared" si="10"/>
        <v>5.93074918200045E-8</v>
      </c>
      <c r="I27">
        <f t="shared" si="11"/>
        <v>2.0757622137001577</v>
      </c>
      <c r="J27">
        <f>C27-I27</f>
        <v>34999952.276874773</v>
      </c>
    </row>
    <row r="28" spans="1:10" x14ac:dyDescent="0.25">
      <c r="A28" t="s">
        <v>15</v>
      </c>
      <c r="B28">
        <f>$B$2</f>
        <v>7.97</v>
      </c>
      <c r="C28" s="1">
        <f>J27</f>
        <v>34999952.276874773</v>
      </c>
      <c r="D28">
        <f>$D$2</f>
        <v>0.5</v>
      </c>
      <c r="E28" s="1">
        <f>$E$2</f>
        <v>9.9459999999999997</v>
      </c>
      <c r="F28">
        <f>D28/E28+F27</f>
        <v>0.91806669722083056</v>
      </c>
      <c r="G28">
        <f>0.5*(LN(C28/B28)-0.5)</f>
        <v>7.3975863815663851</v>
      </c>
      <c r="H28">
        <f t="shared" si="10"/>
        <v>8.7723482807360385E-8</v>
      </c>
      <c r="I28">
        <f t="shared" si="11"/>
        <v>3.0703218982576135</v>
      </c>
      <c r="J28">
        <f>C28-I28</f>
        <v>34999949.206552878</v>
      </c>
    </row>
    <row r="29" spans="1:10" x14ac:dyDescent="0.25">
      <c r="A29" t="s">
        <v>15</v>
      </c>
      <c r="B29">
        <f>$B$2</f>
        <v>7.97</v>
      </c>
      <c r="C29" s="1">
        <f>J28</f>
        <v>34999949.206552878</v>
      </c>
      <c r="D29">
        <f>$D$2</f>
        <v>0.5</v>
      </c>
      <c r="E29" s="1">
        <f>$E$2</f>
        <v>9.9459999999999997</v>
      </c>
      <c r="F29">
        <f>D29/E29+F28</f>
        <v>0.96833816313677668</v>
      </c>
      <c r="G29">
        <f>0.5*(LN(C29/B29)-0.5)</f>
        <v>7.3975863377045821</v>
      </c>
      <c r="H29">
        <f t="shared" si="10"/>
        <v>1.2690377867833863E-7</v>
      </c>
      <c r="I29">
        <f t="shared" si="11"/>
        <v>4.4416322537418518</v>
      </c>
      <c r="J29">
        <f>C29-I29</f>
        <v>34999944.764920622</v>
      </c>
    </row>
    <row r="30" spans="1:10" x14ac:dyDescent="0.25">
      <c r="A30" t="s">
        <v>15</v>
      </c>
      <c r="B30">
        <f>$B$2</f>
        <v>7.97</v>
      </c>
      <c r="C30" s="1">
        <f>J29</f>
        <v>34999944.764920622</v>
      </c>
      <c r="D30">
        <f>$D$2</f>
        <v>0.5</v>
      </c>
      <c r="E30" s="1">
        <f>$E$2</f>
        <v>9.9459999999999997</v>
      </c>
      <c r="F30">
        <f>D30/E30+F29</f>
        <v>1.0186096290527229</v>
      </c>
      <c r="G30">
        <f>0.5*(LN(C30/B30)-0.5)</f>
        <v>7.3975862742525971</v>
      </c>
      <c r="H30">
        <f t="shared" si="10"/>
        <v>1.7995447914492158E-7</v>
      </c>
      <c r="I30">
        <f t="shared" si="11"/>
        <v>6.2984067700722557</v>
      </c>
      <c r="J30">
        <f>C30-I30</f>
        <v>34999938.46651385</v>
      </c>
    </row>
    <row r="31" spans="1:10" x14ac:dyDescent="0.25">
      <c r="A31" t="s">
        <v>15</v>
      </c>
      <c r="B31">
        <f>$B$2</f>
        <v>7.97</v>
      </c>
      <c r="C31" s="1">
        <f>J30</f>
        <v>34999938.46651385</v>
      </c>
      <c r="D31">
        <f>$D$2</f>
        <v>0.5</v>
      </c>
      <c r="E31" s="1">
        <f>$E$2</f>
        <v>9.9459999999999997</v>
      </c>
      <c r="F31">
        <f>D31/E31+F30</f>
        <v>1.0688810949686691</v>
      </c>
      <c r="G31">
        <f>0.5*(LN(C31/B31)-0.5)</f>
        <v>7.3975861842752071</v>
      </c>
      <c r="H31">
        <f t="shared" ref="H31:H50" si="13">(POWER(F31,G31)*EXP(-F31/2))/(POWER(2,G31+1)*_xlfn.GAMMA(G31+1))</f>
        <v>2.5062012050519577E-7</v>
      </c>
      <c r="I31">
        <f t="shared" ref="I31:I50" si="14">$C$2*H31</f>
        <v>8.7717042176818527</v>
      </c>
      <c r="J31">
        <f>C31-I31</f>
        <v>34999929.694809631</v>
      </c>
    </row>
    <row r="32" spans="1:10" x14ac:dyDescent="0.25">
      <c r="A32" s="3" t="s">
        <v>19</v>
      </c>
      <c r="B32" s="3">
        <f>$B$12</f>
        <v>94.11</v>
      </c>
      <c r="C32" s="1">
        <f>J31</f>
        <v>34999929.694809631</v>
      </c>
      <c r="D32" s="3">
        <f>$D$12</f>
        <v>0.5</v>
      </c>
      <c r="E32" s="3">
        <f>$E$12</f>
        <v>78.8</v>
      </c>
      <c r="F32">
        <f>D32/E32+F31</f>
        <v>1.0752262726336437</v>
      </c>
      <c r="G32">
        <f>0.5*(LN(C32/B32)-0.5)</f>
        <v>6.1631961499306245</v>
      </c>
      <c r="H32">
        <f t="shared" si="13"/>
        <v>6.5068893018981043E-6</v>
      </c>
      <c r="I32">
        <f t="shared" si="14"/>
        <v>227.74112556643365</v>
      </c>
      <c r="J32">
        <f>C32-I32</f>
        <v>34999701.953684062</v>
      </c>
    </row>
    <row r="33" spans="1:10" x14ac:dyDescent="0.25">
      <c r="A33" s="3" t="s">
        <v>19</v>
      </c>
      <c r="B33" s="3">
        <f t="shared" ref="B33:B41" si="15">$B$12</f>
        <v>94.11</v>
      </c>
      <c r="C33" s="1">
        <f t="shared" ref="C33:C41" si="16">J32</f>
        <v>34999701.953684062</v>
      </c>
      <c r="D33" s="3">
        <f t="shared" ref="D33:D41" si="17">$D$12</f>
        <v>0.5</v>
      </c>
      <c r="E33" s="3">
        <f t="shared" ref="E33:E41" si="18">$E$12</f>
        <v>78.8</v>
      </c>
      <c r="F33">
        <f t="shared" ref="F33:F41" si="19">D33/E33+F32</f>
        <v>1.0815714502986182</v>
      </c>
      <c r="G33">
        <f t="shared" ref="G33:G41" si="20">0.5*(LN(C33/B33)-0.5)</f>
        <v>6.1631928964688534</v>
      </c>
      <c r="H33">
        <f t="shared" si="13"/>
        <v>6.7258664062217589E-6</v>
      </c>
      <c r="I33">
        <f t="shared" si="14"/>
        <v>235.40532421776157</v>
      </c>
      <c r="J33">
        <f t="shared" ref="J33:J41" si="21">C33-I33</f>
        <v>34999466.548359841</v>
      </c>
    </row>
    <row r="34" spans="1:10" x14ac:dyDescent="0.25">
      <c r="A34" s="3" t="s">
        <v>19</v>
      </c>
      <c r="B34" s="3">
        <f t="shared" si="15"/>
        <v>94.11</v>
      </c>
      <c r="C34" s="1">
        <f t="shared" si="16"/>
        <v>34999466.548359841</v>
      </c>
      <c r="D34" s="3">
        <f t="shared" si="17"/>
        <v>0.5</v>
      </c>
      <c r="E34" s="3">
        <f t="shared" si="18"/>
        <v>78.8</v>
      </c>
      <c r="F34">
        <f t="shared" si="19"/>
        <v>1.0879166279635928</v>
      </c>
      <c r="G34">
        <f t="shared" si="20"/>
        <v>6.1631895334957028</v>
      </c>
      <c r="H34">
        <f t="shared" si="13"/>
        <v>6.9507398383484974E-6</v>
      </c>
      <c r="I34">
        <f t="shared" si="14"/>
        <v>243.2758943421974</v>
      </c>
      <c r="J34">
        <f t="shared" si="21"/>
        <v>34999223.272465497</v>
      </c>
    </row>
    <row r="35" spans="1:10" x14ac:dyDescent="0.25">
      <c r="A35" s="3" t="s">
        <v>19</v>
      </c>
      <c r="B35" s="3">
        <f t="shared" si="15"/>
        <v>94.11</v>
      </c>
      <c r="C35" s="1">
        <f t="shared" si="16"/>
        <v>34999223.272465497</v>
      </c>
      <c r="D35" s="3">
        <f t="shared" si="17"/>
        <v>0.5</v>
      </c>
      <c r="E35" s="3">
        <f t="shared" si="18"/>
        <v>78.8</v>
      </c>
      <c r="F35">
        <f t="shared" si="19"/>
        <v>1.0942618056285673</v>
      </c>
      <c r="G35">
        <f t="shared" si="20"/>
        <v>6.1631860580607345</v>
      </c>
      <c r="H35">
        <f t="shared" si="13"/>
        <v>7.1816276183389809E-6</v>
      </c>
      <c r="I35">
        <f t="shared" si="14"/>
        <v>251.35696664186432</v>
      </c>
      <c r="J35">
        <f t="shared" si="21"/>
        <v>34998971.915498853</v>
      </c>
    </row>
    <row r="36" spans="1:10" x14ac:dyDescent="0.25">
      <c r="A36" s="3" t="s">
        <v>19</v>
      </c>
      <c r="B36" s="3">
        <f t="shared" si="15"/>
        <v>94.11</v>
      </c>
      <c r="C36" s="1">
        <f t="shared" si="16"/>
        <v>34998971.915498853</v>
      </c>
      <c r="D36" s="3">
        <f t="shared" si="17"/>
        <v>0.5</v>
      </c>
      <c r="E36" s="3">
        <f t="shared" si="18"/>
        <v>78.8</v>
      </c>
      <c r="F36">
        <f t="shared" si="19"/>
        <v>1.1006069832935419</v>
      </c>
      <c r="G36">
        <f t="shared" si="20"/>
        <v>6.1631824671543409</v>
      </c>
      <c r="H36">
        <f t="shared" si="13"/>
        <v>7.4186492602895302E-6</v>
      </c>
      <c r="I36">
        <f t="shared" si="14"/>
        <v>259.65272411013353</v>
      </c>
      <c r="J36">
        <f t="shared" si="21"/>
        <v>34998712.262774743</v>
      </c>
    </row>
    <row r="37" spans="1:10" x14ac:dyDescent="0.25">
      <c r="A37" s="3" t="s">
        <v>19</v>
      </c>
      <c r="B37" s="3">
        <f t="shared" si="15"/>
        <v>94.11</v>
      </c>
      <c r="C37" s="1">
        <f t="shared" si="16"/>
        <v>34998712.262774743</v>
      </c>
      <c r="D37" s="3">
        <f t="shared" si="17"/>
        <v>0.5</v>
      </c>
      <c r="E37" s="3">
        <f t="shared" si="18"/>
        <v>78.8</v>
      </c>
      <c r="F37">
        <f t="shared" si="19"/>
        <v>1.1069521609585165</v>
      </c>
      <c r="G37">
        <f t="shared" si="20"/>
        <v>6.1631787577069908</v>
      </c>
      <c r="H37">
        <f t="shared" si="13"/>
        <v>7.6619257782744569E-6</v>
      </c>
      <c r="I37">
        <f t="shared" si="14"/>
        <v>268.16740223960596</v>
      </c>
      <c r="J37">
        <f t="shared" si="21"/>
        <v>34998444.095372505</v>
      </c>
    </row>
    <row r="38" spans="1:10" x14ac:dyDescent="0.25">
      <c r="A38" s="3" t="s">
        <v>19</v>
      </c>
      <c r="B38" s="3">
        <f t="shared" si="15"/>
        <v>94.11</v>
      </c>
      <c r="C38" s="1">
        <f t="shared" si="16"/>
        <v>34998444.095372505</v>
      </c>
      <c r="D38" s="3">
        <f t="shared" si="17"/>
        <v>0.5</v>
      </c>
      <c r="E38" s="3">
        <f t="shared" si="18"/>
        <v>78.8</v>
      </c>
      <c r="F38">
        <f t="shared" si="19"/>
        <v>1.113297338623491</v>
      </c>
      <c r="G38">
        <f t="shared" si="20"/>
        <v>6.1631749265884679</v>
      </c>
      <c r="H38">
        <f t="shared" si="13"/>
        <v>7.9115796922005234E-6</v>
      </c>
      <c r="I38">
        <f t="shared" si="14"/>
        <v>276.90528922701833</v>
      </c>
      <c r="J38">
        <f t="shared" si="21"/>
        <v>34998167.19008328</v>
      </c>
    </row>
    <row r="39" spans="1:10" x14ac:dyDescent="0.25">
      <c r="A39" s="3" t="s">
        <v>19</v>
      </c>
      <c r="B39" s="3">
        <f t="shared" si="15"/>
        <v>94.11</v>
      </c>
      <c r="C39" s="1">
        <f t="shared" si="16"/>
        <v>34998167.19008328</v>
      </c>
      <c r="D39" s="3">
        <f t="shared" si="17"/>
        <v>0.5</v>
      </c>
      <c r="E39" s="3">
        <f t="shared" si="18"/>
        <v>78.8</v>
      </c>
      <c r="F39">
        <f t="shared" si="19"/>
        <v>1.1196425162884656</v>
      </c>
      <c r="G39">
        <f t="shared" si="20"/>
        <v>6.1631709706071121</v>
      </c>
      <c r="H39">
        <f t="shared" si="13"/>
        <v>8.1677350335739979E-6</v>
      </c>
      <c r="I39">
        <f t="shared" si="14"/>
        <v>285.87072617508994</v>
      </c>
      <c r="J39">
        <f t="shared" si="21"/>
        <v>34997881.319357105</v>
      </c>
    </row>
    <row r="40" spans="1:10" x14ac:dyDescent="0.25">
      <c r="A40" s="3" t="s">
        <v>19</v>
      </c>
      <c r="B40" s="3">
        <f t="shared" si="15"/>
        <v>94.11</v>
      </c>
      <c r="C40" s="1">
        <f t="shared" si="16"/>
        <v>34997881.319357105</v>
      </c>
      <c r="D40" s="3">
        <f t="shared" si="17"/>
        <v>0.5</v>
      </c>
      <c r="E40" s="3">
        <f t="shared" si="18"/>
        <v>78.8</v>
      </c>
      <c r="F40">
        <f t="shared" si="19"/>
        <v>1.1259876939534401</v>
      </c>
      <c r="G40">
        <f t="shared" si="20"/>
        <v>6.1631668865090488</v>
      </c>
      <c r="H40">
        <f t="shared" si="13"/>
        <v>8.4305173511810964E-6</v>
      </c>
      <c r="I40">
        <f t="shared" si="14"/>
        <v>295.06810729133838</v>
      </c>
      <c r="J40">
        <f t="shared" si="21"/>
        <v>34997586.251249813</v>
      </c>
    </row>
    <row r="41" spans="1:10" x14ac:dyDescent="0.25">
      <c r="A41" s="3" t="s">
        <v>19</v>
      </c>
      <c r="B41" s="3">
        <f t="shared" si="15"/>
        <v>94.11</v>
      </c>
      <c r="C41" s="1">
        <f t="shared" si="16"/>
        <v>34997586.251249813</v>
      </c>
      <c r="D41" s="3">
        <f t="shared" si="17"/>
        <v>0.5</v>
      </c>
      <c r="E41" s="3">
        <f t="shared" si="18"/>
        <v>78.8</v>
      </c>
      <c r="F41">
        <f t="shared" si="19"/>
        <v>1.1323328716184147</v>
      </c>
      <c r="G41">
        <f t="shared" si="20"/>
        <v>6.163162670977421</v>
      </c>
      <c r="H41">
        <f t="shared" si="13"/>
        <v>8.7000537166822268E-6</v>
      </c>
      <c r="I41">
        <f t="shared" si="14"/>
        <v>304.50188008387795</v>
      </c>
      <c r="J41">
        <f t="shared" si="21"/>
        <v>34997281.749369726</v>
      </c>
    </row>
    <row r="42" spans="1:10" x14ac:dyDescent="0.25">
      <c r="A42" t="s">
        <v>15</v>
      </c>
      <c r="B42">
        <f>$B$2</f>
        <v>7.97</v>
      </c>
      <c r="C42" s="1">
        <f>J41</f>
        <v>34997281.749369726</v>
      </c>
      <c r="D42">
        <f>$D$2</f>
        <v>0.5</v>
      </c>
      <c r="E42" s="1">
        <f>$E$2</f>
        <v>9.9459999999999997</v>
      </c>
      <c r="F42">
        <f>D42/E42+F41</f>
        <v>1.1826043375343609</v>
      </c>
      <c r="G42">
        <f>0.5*(LN(C42/B42)-0.5)</f>
        <v>7.3975482296659072</v>
      </c>
      <c r="H42">
        <f t="shared" si="13"/>
        <v>5.0025624812234639E-7</v>
      </c>
      <c r="I42">
        <f t="shared" si="14"/>
        <v>17.508968684282124</v>
      </c>
      <c r="J42">
        <f>C42-I42</f>
        <v>34997264.240401044</v>
      </c>
    </row>
    <row r="43" spans="1:10" x14ac:dyDescent="0.25">
      <c r="A43" t="s">
        <v>15</v>
      </c>
      <c r="B43">
        <f>$B$2</f>
        <v>7.97</v>
      </c>
      <c r="C43" s="1">
        <f>J42</f>
        <v>34997264.240401044</v>
      </c>
      <c r="D43">
        <f>$D$2</f>
        <v>0.5</v>
      </c>
      <c r="E43" s="1">
        <f>$E$2</f>
        <v>9.9459999999999997</v>
      </c>
      <c r="F43">
        <f>D43/E43+F42</f>
        <v>1.2328758034503071</v>
      </c>
      <c r="G43">
        <f>0.5*(LN(C43/B43)-0.5)</f>
        <v>7.3975479795182926</v>
      </c>
      <c r="H43">
        <f t="shared" si="13"/>
        <v>6.6377843180917301E-7</v>
      </c>
      <c r="I43">
        <f t="shared" si="14"/>
        <v>23.232245113321056</v>
      </c>
      <c r="J43">
        <f>C43-I43</f>
        <v>34997241.008155935</v>
      </c>
    </row>
    <row r="44" spans="1:10" x14ac:dyDescent="0.25">
      <c r="A44" t="s">
        <v>15</v>
      </c>
      <c r="B44">
        <f>$B$2</f>
        <v>7.97</v>
      </c>
      <c r="C44" s="1">
        <f>J43</f>
        <v>34997241.008155935</v>
      </c>
      <c r="D44">
        <f>$D$2</f>
        <v>0.5</v>
      </c>
      <c r="E44" s="1">
        <f>$E$2</f>
        <v>9.9459999999999997</v>
      </c>
      <c r="F44">
        <f>D44/E44+F43</f>
        <v>1.2831472693662533</v>
      </c>
      <c r="G44">
        <f>0.5*(LN(C44/B44)-0.5)</f>
        <v>7.3975476476030231</v>
      </c>
      <c r="H44">
        <f t="shared" si="13"/>
        <v>8.6997690332813262E-7</v>
      </c>
      <c r="I44">
        <f t="shared" si="14"/>
        <v>30.44919161648464</v>
      </c>
      <c r="J44">
        <f>C44-I44</f>
        <v>34997210.55896432</v>
      </c>
    </row>
    <row r="45" spans="1:10" x14ac:dyDescent="0.25">
      <c r="A45" t="s">
        <v>15</v>
      </c>
      <c r="B45">
        <f>$B$2</f>
        <v>7.97</v>
      </c>
      <c r="C45" s="1">
        <f>J44</f>
        <v>34997210.55896432</v>
      </c>
      <c r="D45">
        <f>$D$2</f>
        <v>0.5</v>
      </c>
      <c r="E45" s="1">
        <f>$E$2</f>
        <v>9.9459999999999997</v>
      </c>
      <c r="F45">
        <f>D45/E45+F44</f>
        <v>1.3334187352821996</v>
      </c>
      <c r="G45">
        <f>0.5*(LN(C45/B45)-0.5)</f>
        <v>7.3975472125800898</v>
      </c>
      <c r="H45">
        <f t="shared" si="13"/>
        <v>1.1273462158745463E-6</v>
      </c>
      <c r="I45">
        <f t="shared" si="14"/>
        <v>39.457117555609123</v>
      </c>
      <c r="J45">
        <f>C45-I45</f>
        <v>34997171.101846762</v>
      </c>
    </row>
    <row r="46" spans="1:10" x14ac:dyDescent="0.25">
      <c r="A46" t="s">
        <v>15</v>
      </c>
      <c r="B46">
        <f>$B$2</f>
        <v>7.97</v>
      </c>
      <c r="C46" s="1">
        <f>J45</f>
        <v>34997171.101846762</v>
      </c>
      <c r="D46">
        <f>$D$2</f>
        <v>0.5</v>
      </c>
      <c r="E46" s="1">
        <f>$E$2</f>
        <v>9.9459999999999997</v>
      </c>
      <c r="F46">
        <f>D46/E46+F45</f>
        <v>1.3836902011981458</v>
      </c>
      <c r="G46">
        <f>0.5*(LN(C46/B46)-0.5)</f>
        <v>7.397546648861737</v>
      </c>
      <c r="H46">
        <f t="shared" si="13"/>
        <v>1.4455638805019124E-6</v>
      </c>
      <c r="I46">
        <f t="shared" si="14"/>
        <v>50.594735817566935</v>
      </c>
      <c r="J46">
        <f>C46-I46</f>
        <v>34997120.507110946</v>
      </c>
    </row>
    <row r="47" spans="1:10" x14ac:dyDescent="0.25">
      <c r="A47" t="s">
        <v>15</v>
      </c>
      <c r="B47">
        <f>$B$2</f>
        <v>7.97</v>
      </c>
      <c r="C47" s="1">
        <f>J46</f>
        <v>34997120.507110946</v>
      </c>
      <c r="D47">
        <f>$D$2</f>
        <v>0.5</v>
      </c>
      <c r="E47" s="1">
        <f>$E$2</f>
        <v>9.9459999999999997</v>
      </c>
      <c r="F47">
        <f>D47/E47+F46</f>
        <v>1.433961667114092</v>
      </c>
      <c r="G47">
        <f>0.5*(LN(C47/B47)-0.5)</f>
        <v>7.3975459260208503</v>
      </c>
      <c r="H47">
        <f t="shared" si="13"/>
        <v>1.8355825202142707E-6</v>
      </c>
      <c r="I47">
        <f t="shared" si="14"/>
        <v>64.245388207499474</v>
      </c>
      <c r="J47">
        <f>C47-I47</f>
        <v>34997056.261722736</v>
      </c>
    </row>
    <row r="48" spans="1:10" x14ac:dyDescent="0.25">
      <c r="A48" t="s">
        <v>15</v>
      </c>
      <c r="B48">
        <f>$B$2</f>
        <v>7.97</v>
      </c>
      <c r="C48" s="1">
        <f>J47</f>
        <v>34997056.261722736</v>
      </c>
      <c r="D48">
        <f>$D$2</f>
        <v>0.5</v>
      </c>
      <c r="E48" s="1">
        <f>$E$2</f>
        <v>9.9459999999999997</v>
      </c>
      <c r="F48">
        <f>D48/E48+F47</f>
        <v>1.4842331330300382</v>
      </c>
      <c r="G48">
        <f>0.5*(LN(C48/B48)-0.5)</f>
        <v>7.3975450081532328</v>
      </c>
      <c r="H48">
        <f t="shared" si="13"/>
        <v>2.3097220317005061E-6</v>
      </c>
      <c r="I48">
        <f t="shared" si="14"/>
        <v>80.840271109517715</v>
      </c>
      <c r="J48">
        <f>C48-I48</f>
        <v>34996975.421451628</v>
      </c>
    </row>
    <row r="49" spans="1:10" x14ac:dyDescent="0.25">
      <c r="A49" t="s">
        <v>15</v>
      </c>
      <c r="B49">
        <f>$B$2</f>
        <v>7.97</v>
      </c>
      <c r="C49" s="1">
        <f>J48</f>
        <v>34996975.421451628</v>
      </c>
      <c r="D49">
        <f>$D$2</f>
        <v>0.5</v>
      </c>
      <c r="E49" s="1">
        <f>$E$2</f>
        <v>9.9459999999999997</v>
      </c>
      <c r="F49">
        <f>D49/E49+F48</f>
        <v>1.5345045989459845</v>
      </c>
      <c r="G49">
        <f>0.5*(LN(C49/B49)-0.5)</f>
        <v>7.3975438531937439</v>
      </c>
      <c r="H49">
        <f t="shared" si="13"/>
        <v>2.8817612421607028E-6</v>
      </c>
      <c r="I49">
        <f t="shared" si="14"/>
        <v>100.8616434756246</v>
      </c>
      <c r="J49">
        <f>C49-I49</f>
        <v>34996874.55980815</v>
      </c>
    </row>
    <row r="50" spans="1:10" x14ac:dyDescent="0.25">
      <c r="A50" t="s">
        <v>15</v>
      </c>
      <c r="B50">
        <f>$B$2</f>
        <v>7.97</v>
      </c>
      <c r="C50" s="1">
        <f>J49</f>
        <v>34996874.55980815</v>
      </c>
      <c r="D50">
        <f>$D$2</f>
        <v>0.5</v>
      </c>
      <c r="E50" s="1">
        <f>$E$2</f>
        <v>9.9459999999999997</v>
      </c>
      <c r="F50">
        <f>D50/E50+F49</f>
        <v>1.5847760648619307</v>
      </c>
      <c r="G50">
        <f>0.5*(LN(C50/B50)-0.5)</f>
        <v>7.3975424121865192</v>
      </c>
      <c r="H50">
        <f t="shared" si="13"/>
        <v>3.5670285594706753E-6</v>
      </c>
      <c r="I50">
        <f t="shared" si="14"/>
        <v>124.84599958147363</v>
      </c>
      <c r="J50">
        <f>C50-I50</f>
        <v>34996749.713808566</v>
      </c>
    </row>
    <row r="51" spans="1:10" x14ac:dyDescent="0.25">
      <c r="A51" t="s">
        <v>15</v>
      </c>
      <c r="B51">
        <f>$B$2</f>
        <v>7.97</v>
      </c>
      <c r="C51" s="1">
        <f>J50</f>
        <v>34996749.713808566</v>
      </c>
      <c r="D51">
        <f>$D$2</f>
        <v>0.5</v>
      </c>
      <c r="E51" s="1">
        <f>$E$2</f>
        <v>9.9459999999999997</v>
      </c>
      <c r="F51">
        <f>D51/E51+F50</f>
        <v>1.6350475307778769</v>
      </c>
      <c r="G51">
        <f>0.5*(LN(C51/B51)-0.5)</f>
        <v>7.3975406285097787</v>
      </c>
      <c r="H51">
        <f t="shared" ref="H51:H90" si="22">(POWER(F51,G51)*EXP(-F51/2))/(POWER(2,G51+1)*_xlfn.GAMMA(G51+1))</f>
        <v>4.3824911282079593E-6</v>
      </c>
      <c r="I51">
        <f t="shared" ref="I51:I90" si="23">$C$2*H51</f>
        <v>153.38718948727856</v>
      </c>
      <c r="J51">
        <f>C51-I51</f>
        <v>34996596.326619081</v>
      </c>
    </row>
    <row r="52" spans="1:10" x14ac:dyDescent="0.25">
      <c r="A52" s="3" t="s">
        <v>19</v>
      </c>
      <c r="B52" s="3">
        <f>$B$12</f>
        <v>94.11</v>
      </c>
      <c r="C52" s="1">
        <f>J51</f>
        <v>34996596.326619081</v>
      </c>
      <c r="D52" s="3">
        <f>$D$12</f>
        <v>0.5</v>
      </c>
      <c r="E52" s="3">
        <f>$E$12</f>
        <v>78.8</v>
      </c>
      <c r="F52">
        <f>D52/E52+F51</f>
        <v>1.6413927084428515</v>
      </c>
      <c r="G52">
        <f>0.5*(LN(C52/B52)-0.5)</f>
        <v>6.1631485280216163</v>
      </c>
      <c r="H52">
        <f t="shared" si="22"/>
        <v>6.6486314231845825E-5</v>
      </c>
      <c r="I52">
        <f t="shared" si="23"/>
        <v>2327.020998114604</v>
      </c>
      <c r="J52">
        <f>C52-I52</f>
        <v>34994269.305620968</v>
      </c>
    </row>
    <row r="53" spans="1:10" x14ac:dyDescent="0.25">
      <c r="A53" s="3" t="s">
        <v>19</v>
      </c>
      <c r="B53" s="3">
        <f t="shared" ref="B53:B61" si="24">$B$12</f>
        <v>94.11</v>
      </c>
      <c r="C53" s="1">
        <f t="shared" ref="C53:C61" si="25">J52</f>
        <v>34994269.305620968</v>
      </c>
      <c r="D53" s="3">
        <f t="shared" ref="D53:D61" si="26">$D$12</f>
        <v>0.5</v>
      </c>
      <c r="E53" s="3">
        <f t="shared" ref="E53:E61" si="27">$E$12</f>
        <v>78.8</v>
      </c>
      <c r="F53">
        <f t="shared" ref="F53:F61" si="28">D53/E53+F52</f>
        <v>1.647737886107826</v>
      </c>
      <c r="G53">
        <f t="shared" ref="G53:G61" si="29">0.5*(LN(C53/B53)-0.5)</f>
        <v>6.1631152805259903</v>
      </c>
      <c r="H53">
        <f t="shared" si="22"/>
        <v>6.7875299400975729E-5</v>
      </c>
      <c r="I53">
        <f t="shared" si="23"/>
        <v>2375.6354790341506</v>
      </c>
      <c r="J53">
        <f t="shared" ref="J53:J61" si="30">C53-I53</f>
        <v>34991893.670141935</v>
      </c>
    </row>
    <row r="54" spans="1:10" x14ac:dyDescent="0.25">
      <c r="A54" s="3" t="s">
        <v>19</v>
      </c>
      <c r="B54" s="3">
        <f t="shared" si="24"/>
        <v>94.11</v>
      </c>
      <c r="C54" s="1">
        <f t="shared" si="25"/>
        <v>34991893.670141935</v>
      </c>
      <c r="D54" s="3">
        <f t="shared" si="26"/>
        <v>0.5</v>
      </c>
      <c r="E54" s="3">
        <f t="shared" si="27"/>
        <v>78.8</v>
      </c>
      <c r="F54">
        <f t="shared" si="28"/>
        <v>1.6540830637728006</v>
      </c>
      <c r="G54">
        <f t="shared" si="29"/>
        <v>6.1630813361664352</v>
      </c>
      <c r="H54">
        <f t="shared" si="22"/>
        <v>6.9287052642000584E-5</v>
      </c>
      <c r="I54">
        <f t="shared" si="23"/>
        <v>2425.0468424700202</v>
      </c>
      <c r="J54">
        <f t="shared" si="30"/>
        <v>34989468.623299465</v>
      </c>
    </row>
    <row r="55" spans="1:10" x14ac:dyDescent="0.25">
      <c r="A55" s="3" t="s">
        <v>19</v>
      </c>
      <c r="B55" s="3">
        <f t="shared" si="24"/>
        <v>94.11</v>
      </c>
      <c r="C55" s="1">
        <f t="shared" si="25"/>
        <v>34989468.623299465</v>
      </c>
      <c r="D55" s="3">
        <f t="shared" si="26"/>
        <v>0.5</v>
      </c>
      <c r="E55" s="3">
        <f t="shared" si="27"/>
        <v>78.8</v>
      </c>
      <c r="F55">
        <f t="shared" si="28"/>
        <v>1.6604282414377751</v>
      </c>
      <c r="G55">
        <f t="shared" si="29"/>
        <v>6.163046683413703</v>
      </c>
      <c r="H55">
        <f t="shared" si="22"/>
        <v>7.0721840940406939E-5</v>
      </c>
      <c r="I55">
        <f t="shared" si="23"/>
        <v>2475.2644329142427</v>
      </c>
      <c r="J55">
        <f t="shared" si="30"/>
        <v>34986993.35886655</v>
      </c>
    </row>
    <row r="56" spans="1:10" x14ac:dyDescent="0.25">
      <c r="A56" s="3" t="s">
        <v>19</v>
      </c>
      <c r="B56" s="3">
        <f t="shared" si="24"/>
        <v>94.11</v>
      </c>
      <c r="C56" s="1">
        <f t="shared" si="25"/>
        <v>34986993.35886655</v>
      </c>
      <c r="D56" s="3">
        <f t="shared" si="26"/>
        <v>0.5</v>
      </c>
      <c r="E56" s="3">
        <f t="shared" si="27"/>
        <v>78.8</v>
      </c>
      <c r="F56">
        <f t="shared" si="28"/>
        <v>1.6667734191027497</v>
      </c>
      <c r="G56">
        <f t="shared" si="29"/>
        <v>6.1630113105988471</v>
      </c>
      <c r="H56">
        <f t="shared" si="22"/>
        <v>7.2179933103389641E-5</v>
      </c>
      <c r="I56">
        <f t="shared" si="23"/>
        <v>2526.2976586186373</v>
      </c>
      <c r="J56">
        <f t="shared" si="30"/>
        <v>34984467.061207928</v>
      </c>
    </row>
    <row r="57" spans="1:10" x14ac:dyDescent="0.25">
      <c r="A57" s="3" t="s">
        <v>19</v>
      </c>
      <c r="B57" s="3">
        <f t="shared" si="24"/>
        <v>94.11</v>
      </c>
      <c r="C57" s="1">
        <f t="shared" si="25"/>
        <v>34984467.061207928</v>
      </c>
      <c r="D57" s="3">
        <f t="shared" si="26"/>
        <v>0.5</v>
      </c>
      <c r="E57" s="3">
        <f t="shared" si="27"/>
        <v>78.8</v>
      </c>
      <c r="F57">
        <f t="shared" si="28"/>
        <v>1.6731185967677242</v>
      </c>
      <c r="G57">
        <f t="shared" si="29"/>
        <v>6.1629752059120992</v>
      </c>
      <c r="H57">
        <f t="shared" si="22"/>
        <v>7.3661599763922552E-5</v>
      </c>
      <c r="I57">
        <f t="shared" si="23"/>
        <v>2578.1559917372892</v>
      </c>
      <c r="J57">
        <f t="shared" si="30"/>
        <v>34981888.905216187</v>
      </c>
    </row>
    <row r="58" spans="1:10" x14ac:dyDescent="0.25">
      <c r="A58" s="3" t="s">
        <v>19</v>
      </c>
      <c r="B58" s="3">
        <f t="shared" si="24"/>
        <v>94.11</v>
      </c>
      <c r="C58" s="1">
        <f t="shared" si="25"/>
        <v>34981888.905216187</v>
      </c>
      <c r="D58" s="3">
        <f t="shared" si="26"/>
        <v>0.5</v>
      </c>
      <c r="E58" s="3">
        <f t="shared" si="27"/>
        <v>78.8</v>
      </c>
      <c r="F58">
        <f t="shared" si="28"/>
        <v>1.6794637744326988</v>
      </c>
      <c r="G58">
        <f t="shared" si="29"/>
        <v>6.1629383574017362</v>
      </c>
      <c r="H58">
        <f t="shared" si="22"/>
        <v>7.5167113384918933E-5</v>
      </c>
      <c r="I58">
        <f t="shared" si="23"/>
        <v>2630.8489684721626</v>
      </c>
      <c r="J58">
        <f t="shared" si="30"/>
        <v>34979258.056247719</v>
      </c>
    </row>
    <row r="59" spans="1:10" x14ac:dyDescent="0.25">
      <c r="A59" s="3" t="s">
        <v>19</v>
      </c>
      <c r="B59" s="3">
        <f t="shared" si="24"/>
        <v>94.11</v>
      </c>
      <c r="C59" s="1">
        <f t="shared" si="25"/>
        <v>34979258.056247719</v>
      </c>
      <c r="D59" s="3">
        <f t="shared" si="26"/>
        <v>0.5</v>
      </c>
      <c r="E59" s="3">
        <f t="shared" si="27"/>
        <v>78.8</v>
      </c>
      <c r="F59">
        <f t="shared" si="28"/>
        <v>1.6858089520976733</v>
      </c>
      <c r="G59">
        <f t="shared" si="29"/>
        <v>6.162900752972936</v>
      </c>
      <c r="H59">
        <f t="shared" si="22"/>
        <v>7.6696748263489797E-5</v>
      </c>
      <c r="I59">
        <f t="shared" si="23"/>
        <v>2684.386189222143</v>
      </c>
      <c r="J59">
        <f t="shared" si="30"/>
        <v>34976573.670058496</v>
      </c>
    </row>
    <row r="60" spans="1:10" x14ac:dyDescent="0.25">
      <c r="A60" s="3" t="s">
        <v>19</v>
      </c>
      <c r="B60" s="3">
        <f t="shared" si="24"/>
        <v>94.11</v>
      </c>
      <c r="C60" s="1">
        <f t="shared" si="25"/>
        <v>34976573.670058496</v>
      </c>
      <c r="D60" s="3">
        <f t="shared" si="26"/>
        <v>0.5</v>
      </c>
      <c r="E60" s="3">
        <f t="shared" si="27"/>
        <v>78.8</v>
      </c>
      <c r="F60">
        <f t="shared" si="28"/>
        <v>1.6921541297626479</v>
      </c>
      <c r="G60">
        <f t="shared" si="29"/>
        <v>6.1628623803866294</v>
      </c>
      <c r="H60">
        <f t="shared" si="22"/>
        <v>7.8250780535298726E-5</v>
      </c>
      <c r="I60">
        <f t="shared" si="23"/>
        <v>2738.7773187354555</v>
      </c>
      <c r="J60">
        <f t="shared" si="30"/>
        <v>34973834.892739758</v>
      </c>
    </row>
    <row r="61" spans="1:10" x14ac:dyDescent="0.25">
      <c r="A61" s="3" t="s">
        <v>19</v>
      </c>
      <c r="B61" s="3">
        <f t="shared" si="24"/>
        <v>94.11</v>
      </c>
      <c r="C61" s="1">
        <f t="shared" si="25"/>
        <v>34973834.892739758</v>
      </c>
      <c r="D61" s="3">
        <f t="shared" si="26"/>
        <v>0.5</v>
      </c>
      <c r="E61" s="3">
        <f t="shared" si="27"/>
        <v>78.8</v>
      </c>
      <c r="F61">
        <f t="shared" si="28"/>
        <v>1.6984993074276225</v>
      </c>
      <c r="G61">
        <f t="shared" si="29"/>
        <v>6.1628232272583432</v>
      </c>
      <c r="H61">
        <f t="shared" si="22"/>
        <v>7.9829488179019545E-5</v>
      </c>
      <c r="I61">
        <f t="shared" si="23"/>
        <v>2794.032086265684</v>
      </c>
      <c r="J61">
        <f t="shared" si="30"/>
        <v>34971040.86065349</v>
      </c>
    </row>
    <row r="62" spans="1:10" x14ac:dyDescent="0.25">
      <c r="A62" t="s">
        <v>15</v>
      </c>
      <c r="B62">
        <f>$B$2</f>
        <v>7.97</v>
      </c>
      <c r="C62" s="1">
        <f>J61</f>
        <v>34971040.86065349</v>
      </c>
      <c r="D62">
        <f>$D$2</f>
        <v>0.5</v>
      </c>
      <c r="E62" s="1">
        <f>$E$2</f>
        <v>9.9459999999999997</v>
      </c>
      <c r="F62">
        <f>D62/E62+F61</f>
        <v>1.7487707733435687</v>
      </c>
      <c r="G62">
        <f>0.5*(LN(C62/B62)-0.5)</f>
        <v>7.3971731900913156</v>
      </c>
      <c r="H62">
        <f t="shared" si="22"/>
        <v>6.8140350896407034E-6</v>
      </c>
      <c r="I62">
        <f t="shared" si="23"/>
        <v>238.49122813742463</v>
      </c>
      <c r="J62">
        <f>C62-I62</f>
        <v>34970802.369425349</v>
      </c>
    </row>
    <row r="63" spans="1:10" x14ac:dyDescent="0.25">
      <c r="A63" t="s">
        <v>15</v>
      </c>
      <c r="B63">
        <f>$B$2</f>
        <v>7.97</v>
      </c>
      <c r="C63" s="1">
        <f>J62</f>
        <v>34970802.369425349</v>
      </c>
      <c r="D63">
        <f>$D$2</f>
        <v>0.5</v>
      </c>
      <c r="E63" s="1">
        <f>$E$2</f>
        <v>9.9459999999999997</v>
      </c>
      <c r="F63">
        <f>D63/E63+F62</f>
        <v>1.7990422392595149</v>
      </c>
      <c r="G63">
        <f>0.5*(LN(C63/B63)-0.5)</f>
        <v>7.3971697802408292</v>
      </c>
      <c r="H63">
        <f t="shared" si="22"/>
        <v>8.1948155979246225E-6</v>
      </c>
      <c r="I63">
        <f t="shared" si="23"/>
        <v>286.81854592736181</v>
      </c>
      <c r="J63">
        <f>C63-I63</f>
        <v>34970515.550879419</v>
      </c>
    </row>
    <row r="64" spans="1:10" x14ac:dyDescent="0.25">
      <c r="A64" t="s">
        <v>15</v>
      </c>
      <c r="B64">
        <f>$B$2</f>
        <v>7.97</v>
      </c>
      <c r="C64" s="1">
        <f>J63</f>
        <v>34970515.550879419</v>
      </c>
      <c r="D64">
        <f>$D$2</f>
        <v>0.5</v>
      </c>
      <c r="E64" s="1">
        <f>$E$2</f>
        <v>9.9459999999999997</v>
      </c>
      <c r="F64">
        <f>D64/E64+F63</f>
        <v>1.8493137051754611</v>
      </c>
      <c r="G64">
        <f>0.5*(LN(C64/B64)-0.5)</f>
        <v>7.3971656793952283</v>
      </c>
      <c r="H64">
        <f t="shared" si="22"/>
        <v>9.7986243499393974E-6</v>
      </c>
      <c r="I64">
        <f t="shared" si="23"/>
        <v>342.95185224787889</v>
      </c>
      <c r="J64">
        <f>C64-I64</f>
        <v>34970172.599027172</v>
      </c>
    </row>
    <row r="65" spans="1:10" x14ac:dyDescent="0.25">
      <c r="A65" t="s">
        <v>15</v>
      </c>
      <c r="B65">
        <f>$B$2</f>
        <v>7.97</v>
      </c>
      <c r="C65" s="1">
        <f>J64</f>
        <v>34970172.599027172</v>
      </c>
      <c r="D65">
        <f>$D$2</f>
        <v>0.5</v>
      </c>
      <c r="E65" s="1">
        <f>$E$2</f>
        <v>9.9459999999999997</v>
      </c>
      <c r="F65">
        <f>D65/E65+F64</f>
        <v>1.8995851710914073</v>
      </c>
      <c r="G65">
        <f>0.5*(LN(C65/B65)-0.5)</f>
        <v>7.3971607759282865</v>
      </c>
      <c r="H65">
        <f t="shared" si="22"/>
        <v>1.1652439198599691E-5</v>
      </c>
      <c r="I65">
        <f t="shared" si="23"/>
        <v>407.83537195098916</v>
      </c>
      <c r="J65">
        <f>C65-I65</f>
        <v>34969764.763655223</v>
      </c>
    </row>
    <row r="66" spans="1:10" x14ac:dyDescent="0.25">
      <c r="A66" t="s">
        <v>15</v>
      </c>
      <c r="B66">
        <f>$B$2</f>
        <v>7.97</v>
      </c>
      <c r="C66" s="1">
        <f>J65</f>
        <v>34969764.763655223</v>
      </c>
      <c r="D66">
        <f>$D$2</f>
        <v>0.5</v>
      </c>
      <c r="E66" s="1">
        <f>$E$2</f>
        <v>9.9459999999999997</v>
      </c>
      <c r="F66">
        <f>D66/E66+F65</f>
        <v>1.9498566370073536</v>
      </c>
      <c r="G66">
        <f>0.5*(LN(C66/B66)-0.5)</f>
        <v>7.397154944705278</v>
      </c>
      <c r="H66">
        <f t="shared" si="22"/>
        <v>1.3785374346689846E-5</v>
      </c>
      <c r="I66">
        <f t="shared" si="23"/>
        <v>482.48810213414458</v>
      </c>
      <c r="J66">
        <f>C66-I66</f>
        <v>34969282.275553092</v>
      </c>
    </row>
    <row r="67" spans="1:10" x14ac:dyDescent="0.25">
      <c r="A67" t="s">
        <v>15</v>
      </c>
      <c r="B67">
        <f>$B$2</f>
        <v>7.97</v>
      </c>
      <c r="C67" s="1">
        <f>J66</f>
        <v>34969282.275553092</v>
      </c>
      <c r="D67">
        <f>$D$2</f>
        <v>0.5</v>
      </c>
      <c r="E67" s="1">
        <f>$E$2</f>
        <v>9.9459999999999997</v>
      </c>
      <c r="F67">
        <f>D67/E67+F66</f>
        <v>2.0001281029232998</v>
      </c>
      <c r="G67">
        <f>0.5*(LN(C67/B67)-0.5)</f>
        <v>7.3971480460110213</v>
      </c>
      <c r="H67">
        <f t="shared" si="22"/>
        <v>1.6228746004520911E-5</v>
      </c>
      <c r="I67">
        <f t="shared" si="23"/>
        <v>568.00611015823188</v>
      </c>
      <c r="J67">
        <f>C67-I67</f>
        <v>34968714.269442931</v>
      </c>
    </row>
    <row r="68" spans="1:10" x14ac:dyDescent="0.25">
      <c r="A68" t="s">
        <v>15</v>
      </c>
      <c r="B68">
        <f>$B$2</f>
        <v>7.97</v>
      </c>
      <c r="C68" s="1">
        <f>J67</f>
        <v>34968714.269442931</v>
      </c>
      <c r="D68">
        <f>$D$2</f>
        <v>0.5</v>
      </c>
      <c r="E68" s="1">
        <f>$E$2</f>
        <v>9.9459999999999997</v>
      </c>
      <c r="F68">
        <f>D68/E68+F67</f>
        <v>2.050399568839246</v>
      </c>
      <c r="G68">
        <f>0.5*(LN(C68/B68)-0.5)</f>
        <v>7.3971399244442297</v>
      </c>
      <c r="H68">
        <f t="shared" si="22"/>
        <v>1.9016133410570039E-5</v>
      </c>
      <c r="I68">
        <f t="shared" si="23"/>
        <v>665.56466936995139</v>
      </c>
      <c r="J68">
        <f>C68-I68</f>
        <v>34968048.70477356</v>
      </c>
    </row>
    <row r="69" spans="1:10" x14ac:dyDescent="0.25">
      <c r="A69" t="s">
        <v>15</v>
      </c>
      <c r="B69">
        <f>$B$2</f>
        <v>7.97</v>
      </c>
      <c r="C69" s="1">
        <f>J68</f>
        <v>34968048.70477356</v>
      </c>
      <c r="D69">
        <f>$D$2</f>
        <v>0.5</v>
      </c>
      <c r="E69" s="1">
        <f>$E$2</f>
        <v>9.9459999999999997</v>
      </c>
      <c r="F69">
        <f>D69/E69+F68</f>
        <v>2.1006710347551922</v>
      </c>
      <c r="G69">
        <f>0.5*(LN(C69/B69)-0.5)</f>
        <v>7.3971304077803026</v>
      </c>
      <c r="H69">
        <f t="shared" si="22"/>
        <v>2.2183434971461716E-5</v>
      </c>
      <c r="I69">
        <f t="shared" si="23"/>
        <v>776.42022400116002</v>
      </c>
      <c r="J69">
        <f>C69-I69</f>
        <v>34967272.284549557</v>
      </c>
    </row>
    <row r="70" spans="1:10" x14ac:dyDescent="0.25">
      <c r="A70" t="s">
        <v>15</v>
      </c>
      <c r="B70">
        <f>$B$2</f>
        <v>7.97</v>
      </c>
      <c r="C70" s="1">
        <f>J69</f>
        <v>34967272.284549557</v>
      </c>
      <c r="D70">
        <f>$D$2</f>
        <v>0.5</v>
      </c>
      <c r="E70" s="1">
        <f>$E$2</f>
        <v>9.9459999999999997</v>
      </c>
      <c r="F70">
        <f>D70/E70+F69</f>
        <v>2.1509425006711385</v>
      </c>
      <c r="G70">
        <f>0.5*(LN(C70/B70)-0.5)</f>
        <v>7.3971193058047477</v>
      </c>
      <c r="H70">
        <f t="shared" si="22"/>
        <v>2.5768919310828503E-5</v>
      </c>
      <c r="I70">
        <f t="shared" si="23"/>
        <v>901.91217587899757</v>
      </c>
      <c r="J70">
        <f>C70-I70</f>
        <v>34966370.372373678</v>
      </c>
    </row>
    <row r="71" spans="1:10" x14ac:dyDescent="0.25">
      <c r="A71" t="s">
        <v>15</v>
      </c>
      <c r="B71">
        <f>$B$2</f>
        <v>7.97</v>
      </c>
      <c r="C71" s="1">
        <f>J70</f>
        <v>34966370.372373678</v>
      </c>
      <c r="D71">
        <f>$D$2</f>
        <v>0.5</v>
      </c>
      <c r="E71" s="1">
        <f>$E$2</f>
        <v>9.9459999999999997</v>
      </c>
      <c r="F71">
        <f>D71/E71+F70</f>
        <v>2.2012139665870847</v>
      </c>
      <c r="G71">
        <f>0.5*(LN(C71/B71)-0.5)</f>
        <v>7.397106409119524</v>
      </c>
      <c r="H71">
        <f t="shared" si="22"/>
        <v>2.981327105018973E-5</v>
      </c>
      <c r="I71">
        <f t="shared" si="23"/>
        <v>1043.4644867566406</v>
      </c>
      <c r="J71">
        <f>C71-I71</f>
        <v>34965326.907886922</v>
      </c>
    </row>
    <row r="72" spans="1:10" x14ac:dyDescent="0.25">
      <c r="A72" s="3" t="s">
        <v>19</v>
      </c>
      <c r="B72" s="3">
        <f>$B$12</f>
        <v>94.11</v>
      </c>
      <c r="C72" s="1">
        <f>J71</f>
        <v>34965326.907886922</v>
      </c>
      <c r="D72" s="3">
        <f>$D$12</f>
        <v>0.5</v>
      </c>
      <c r="E72" s="3">
        <f>$E$12</f>
        <v>78.8</v>
      </c>
      <c r="F72">
        <f>D72/E72+F71</f>
        <v>2.2075591442520595</v>
      </c>
      <c r="G72">
        <f>0.5*(LN(C72/B72)-0.5)</f>
        <v>6.1627015788903083</v>
      </c>
      <c r="H72">
        <f t="shared" si="22"/>
        <v>3.1141262053590267E-4</v>
      </c>
      <c r="I72">
        <f t="shared" si="23"/>
        <v>10899.441718756594</v>
      </c>
      <c r="J72">
        <f>C72-I72</f>
        <v>34954427.466168165</v>
      </c>
    </row>
    <row r="73" spans="1:10" x14ac:dyDescent="0.25">
      <c r="A73" s="3" t="s">
        <v>19</v>
      </c>
      <c r="B73" s="3">
        <f t="shared" ref="B73:B81" si="31">$B$12</f>
        <v>94.11</v>
      </c>
      <c r="C73" s="1">
        <f t="shared" ref="C73:C81" si="32">J72</f>
        <v>34954427.466168165</v>
      </c>
      <c r="D73" s="3">
        <f t="shared" ref="D73:D81" si="33">$D$12</f>
        <v>0.5</v>
      </c>
      <c r="E73" s="3">
        <f t="shared" ref="E73:E81" si="34">$E$12</f>
        <v>78.8</v>
      </c>
      <c r="F73">
        <f t="shared" ref="F73:F81" si="35">D73/E73+F72</f>
        <v>2.2139043219170342</v>
      </c>
      <c r="G73">
        <f t="shared" ref="G73:G81" si="36">0.5*(LN(C73/B73)-0.5)</f>
        <v>6.1625456938774867</v>
      </c>
      <c r="H73">
        <f t="shared" si="22"/>
        <v>3.1605433992506631E-4</v>
      </c>
      <c r="I73">
        <f t="shared" si="23"/>
        <v>11061.90189737732</v>
      </c>
      <c r="J73">
        <f t="shared" ref="J73:J81" si="37">C73-I73</f>
        <v>34943365.564270787</v>
      </c>
    </row>
    <row r="74" spans="1:10" x14ac:dyDescent="0.25">
      <c r="A74" s="3" t="s">
        <v>19</v>
      </c>
      <c r="B74" s="3">
        <f t="shared" si="31"/>
        <v>94.11</v>
      </c>
      <c r="C74" s="1">
        <f t="shared" si="32"/>
        <v>34943365.564270787</v>
      </c>
      <c r="D74" s="3">
        <f t="shared" si="33"/>
        <v>0.5</v>
      </c>
      <c r="E74" s="3">
        <f t="shared" si="34"/>
        <v>78.8</v>
      </c>
      <c r="F74">
        <f t="shared" si="35"/>
        <v>2.220249499582009</v>
      </c>
      <c r="G74">
        <f t="shared" si="36"/>
        <v>6.1623874356334118</v>
      </c>
      <c r="H74">
        <f t="shared" si="22"/>
        <v>3.2075008579269463E-4</v>
      </c>
      <c r="I74">
        <f t="shared" si="23"/>
        <v>11226.253002744312</v>
      </c>
      <c r="J74">
        <f t="shared" si="37"/>
        <v>34932139.311268039</v>
      </c>
    </row>
    <row r="75" spans="1:10" x14ac:dyDescent="0.25">
      <c r="A75" s="3" t="s">
        <v>19</v>
      </c>
      <c r="B75" s="3">
        <f t="shared" si="31"/>
        <v>94.11</v>
      </c>
      <c r="C75" s="1">
        <f t="shared" si="32"/>
        <v>34932139.311268039</v>
      </c>
      <c r="D75" s="3">
        <f t="shared" si="33"/>
        <v>0.5</v>
      </c>
      <c r="E75" s="3">
        <f t="shared" si="34"/>
        <v>78.8</v>
      </c>
      <c r="F75">
        <f t="shared" si="35"/>
        <v>2.2265946772469838</v>
      </c>
      <c r="G75">
        <f t="shared" si="36"/>
        <v>6.1622267748536528</v>
      </c>
      <c r="H75">
        <f t="shared" si="22"/>
        <v>3.2550031936933078E-4</v>
      </c>
      <c r="I75">
        <f t="shared" si="23"/>
        <v>11392.511177926577</v>
      </c>
      <c r="J75">
        <f t="shared" si="37"/>
        <v>34920746.800090112</v>
      </c>
    </row>
    <row r="76" spans="1:10" x14ac:dyDescent="0.25">
      <c r="A76" s="3" t="s">
        <v>19</v>
      </c>
      <c r="B76" s="3">
        <f t="shared" si="31"/>
        <v>94.11</v>
      </c>
      <c r="C76" s="1">
        <f t="shared" si="32"/>
        <v>34920746.800090112</v>
      </c>
      <c r="D76" s="3">
        <f t="shared" si="33"/>
        <v>0.5</v>
      </c>
      <c r="E76" s="3">
        <f t="shared" si="34"/>
        <v>78.8</v>
      </c>
      <c r="F76">
        <f t="shared" si="35"/>
        <v>2.2329398549119586</v>
      </c>
      <c r="G76">
        <f t="shared" si="36"/>
        <v>6.1620636819320413</v>
      </c>
      <c r="H76">
        <f t="shared" si="22"/>
        <v>3.3030550491280431E-4</v>
      </c>
      <c r="I76">
        <f t="shared" si="23"/>
        <v>11560.692671948151</v>
      </c>
      <c r="J76">
        <f t="shared" si="37"/>
        <v>34909186.107418165</v>
      </c>
    </row>
    <row r="77" spans="1:10" x14ac:dyDescent="0.25">
      <c r="A77" s="3" t="s">
        <v>19</v>
      </c>
      <c r="B77" s="3">
        <f t="shared" si="31"/>
        <v>94.11</v>
      </c>
      <c r="C77" s="1">
        <f t="shared" si="32"/>
        <v>34909186.107418165</v>
      </c>
      <c r="D77" s="3">
        <f t="shared" si="33"/>
        <v>0.5</v>
      </c>
      <c r="E77" s="3">
        <f t="shared" si="34"/>
        <v>78.8</v>
      </c>
      <c r="F77">
        <f t="shared" si="35"/>
        <v>2.2392850325769333</v>
      </c>
      <c r="G77">
        <f t="shared" si="36"/>
        <v>6.1618981269573156</v>
      </c>
      <c r="H77">
        <f t="shared" si="22"/>
        <v>3.3516610974095045E-4</v>
      </c>
      <c r="I77">
        <f t="shared" si="23"/>
        <v>11730.813840933266</v>
      </c>
      <c r="J77">
        <f t="shared" si="37"/>
        <v>34897455.293577231</v>
      </c>
    </row>
    <row r="78" spans="1:10" x14ac:dyDescent="0.25">
      <c r="A78" s="3" t="s">
        <v>19</v>
      </c>
      <c r="B78" s="3">
        <f t="shared" si="31"/>
        <v>94.11</v>
      </c>
      <c r="C78" s="1">
        <f t="shared" si="32"/>
        <v>34897455.293577231</v>
      </c>
      <c r="D78" s="3">
        <f t="shared" si="33"/>
        <v>0.5</v>
      </c>
      <c r="E78" s="3">
        <f t="shared" si="34"/>
        <v>78.8</v>
      </c>
      <c r="F78">
        <f t="shared" si="35"/>
        <v>2.2456302102419081</v>
      </c>
      <c r="G78">
        <f t="shared" si="36"/>
        <v>6.1617300797097201</v>
      </c>
      <c r="H78">
        <f t="shared" si="22"/>
        <v>3.400826042650395E-4</v>
      </c>
      <c r="I78">
        <f t="shared" si="23"/>
        <v>11902.891149276382</v>
      </c>
      <c r="J78">
        <f t="shared" si="37"/>
        <v>34885552.402427956</v>
      </c>
    </row>
    <row r="79" spans="1:10" x14ac:dyDescent="0.25">
      <c r="A79" s="3" t="s">
        <v>19</v>
      </c>
      <c r="B79" s="3">
        <f t="shared" si="31"/>
        <v>94.11</v>
      </c>
      <c r="C79" s="1">
        <f t="shared" si="32"/>
        <v>34885552.402427956</v>
      </c>
      <c r="D79" s="3">
        <f t="shared" si="33"/>
        <v>0.5</v>
      </c>
      <c r="E79" s="3">
        <f t="shared" si="34"/>
        <v>78.8</v>
      </c>
      <c r="F79">
        <f t="shared" si="35"/>
        <v>2.2519753879068829</v>
      </c>
      <c r="G79">
        <f t="shared" si="36"/>
        <v>6.1615595096575291</v>
      </c>
      <c r="H79">
        <f t="shared" si="22"/>
        <v>3.4505546202394935E-4</v>
      </c>
      <c r="I79">
        <f t="shared" si="23"/>
        <v>12076.941170838227</v>
      </c>
      <c r="J79">
        <f t="shared" si="37"/>
        <v>34873475.461257115</v>
      </c>
    </row>
    <row r="80" spans="1:10" x14ac:dyDescent="0.25">
      <c r="A80" s="3" t="s">
        <v>19</v>
      </c>
      <c r="B80" s="3">
        <f t="shared" si="31"/>
        <v>94.11</v>
      </c>
      <c r="C80" s="1">
        <f t="shared" si="32"/>
        <v>34873475.461257115</v>
      </c>
      <c r="D80" s="3">
        <f t="shared" si="33"/>
        <v>0.5</v>
      </c>
      <c r="E80" s="3">
        <f t="shared" si="34"/>
        <v>78.8</v>
      </c>
      <c r="F80">
        <f t="shared" si="35"/>
        <v>2.2583205655718577</v>
      </c>
      <c r="G80">
        <f t="shared" si="36"/>
        <v>6.1613863859535254</v>
      </c>
      <c r="H80">
        <f t="shared" si="22"/>
        <v>3.500851597190837E-4</v>
      </c>
      <c r="I80">
        <f t="shared" si="23"/>
        <v>12252.98059016793</v>
      </c>
      <c r="J80">
        <f t="shared" si="37"/>
        <v>34861222.48066695</v>
      </c>
    </row>
    <row r="81" spans="1:10" x14ac:dyDescent="0.25">
      <c r="A81" s="3" t="s">
        <v>19</v>
      </c>
      <c r="B81" s="3">
        <f t="shared" si="31"/>
        <v>94.11</v>
      </c>
      <c r="C81" s="1">
        <f t="shared" si="32"/>
        <v>34861222.48066695</v>
      </c>
      <c r="D81" s="3">
        <f t="shared" si="33"/>
        <v>0.5</v>
      </c>
      <c r="E81" s="3">
        <f t="shared" si="34"/>
        <v>78.8</v>
      </c>
      <c r="F81">
        <f t="shared" si="35"/>
        <v>2.2646657432368325</v>
      </c>
      <c r="G81">
        <f t="shared" si="36"/>
        <v>6.1612106774313995</v>
      </c>
      <c r="H81">
        <f t="shared" si="22"/>
        <v>3.5517217725005996E-4</v>
      </c>
      <c r="I81">
        <f t="shared" si="23"/>
        <v>12431.026203752099</v>
      </c>
      <c r="J81">
        <f t="shared" si="37"/>
        <v>34848791.454463199</v>
      </c>
    </row>
    <row r="82" spans="1:10" x14ac:dyDescent="0.25">
      <c r="A82" t="s">
        <v>15</v>
      </c>
      <c r="B82">
        <f>$B$2</f>
        <v>7.97</v>
      </c>
      <c r="C82" s="1">
        <f>J81</f>
        <v>34848791.454463199</v>
      </c>
      <c r="D82">
        <f>$D$2</f>
        <v>0.5</v>
      </c>
      <c r="E82" s="1">
        <f>$E$2</f>
        <v>9.9459999999999997</v>
      </c>
      <c r="F82">
        <f>D82/E82+F81</f>
        <v>2.3149372091527787</v>
      </c>
      <c r="G82">
        <f>0.5*(LN(C82/B82)-0.5)</f>
        <v>7.3954222616363854</v>
      </c>
      <c r="H82">
        <f t="shared" si="22"/>
        <v>4.1015312971040637E-5</v>
      </c>
      <c r="I82">
        <f t="shared" si="23"/>
        <v>1435.5359539864223</v>
      </c>
      <c r="J82">
        <f>C82-I82</f>
        <v>34847355.918509215</v>
      </c>
    </row>
    <row r="83" spans="1:10" x14ac:dyDescent="0.25">
      <c r="A83" t="s">
        <v>15</v>
      </c>
      <c r="B83">
        <f>$B$2</f>
        <v>7.97</v>
      </c>
      <c r="C83" s="1">
        <f>J82</f>
        <v>34847355.918509215</v>
      </c>
      <c r="D83">
        <f>$D$2</f>
        <v>0.5</v>
      </c>
      <c r="E83" s="1">
        <f>$E$2</f>
        <v>9.9459999999999997</v>
      </c>
      <c r="F83">
        <f>D83/E83+F82</f>
        <v>2.3652086750687249</v>
      </c>
      <c r="G83">
        <f>0.5*(LN(C83/B83)-0.5)</f>
        <v>7.3954016645731571</v>
      </c>
      <c r="H83">
        <f t="shared" si="22"/>
        <v>4.6886501615388235E-5</v>
      </c>
      <c r="I83">
        <f t="shared" si="23"/>
        <v>1641.0275565385882</v>
      </c>
      <c r="J83">
        <f>C83-I83</f>
        <v>34845714.890952677</v>
      </c>
    </row>
    <row r="84" spans="1:10" x14ac:dyDescent="0.25">
      <c r="A84" t="s">
        <v>15</v>
      </c>
      <c r="B84">
        <f>$B$2</f>
        <v>7.97</v>
      </c>
      <c r="C84" s="1">
        <f>J83</f>
        <v>34845714.890952677</v>
      </c>
      <c r="D84">
        <f>$D$2</f>
        <v>0.5</v>
      </c>
      <c r="E84" s="1">
        <f>$E$2</f>
        <v>9.9459999999999997</v>
      </c>
      <c r="F84">
        <f>D84/E84+F83</f>
        <v>2.4154801409846711</v>
      </c>
      <c r="G84">
        <f>0.5*(LN(C84/B84)-0.5)</f>
        <v>7.3953781180779634</v>
      </c>
      <c r="H84">
        <f t="shared" si="22"/>
        <v>5.3419569557410435E-5</v>
      </c>
      <c r="I84">
        <f t="shared" si="23"/>
        <v>1869.6849345093653</v>
      </c>
      <c r="J84">
        <f>C84-I84</f>
        <v>34843845.206018165</v>
      </c>
    </row>
    <row r="85" spans="1:10" x14ac:dyDescent="0.25">
      <c r="A85" t="s">
        <v>15</v>
      </c>
      <c r="B85">
        <f>$B$2</f>
        <v>7.97</v>
      </c>
      <c r="C85" s="1">
        <f>J84</f>
        <v>34843845.206018165</v>
      </c>
      <c r="D85">
        <f>$D$2</f>
        <v>0.5</v>
      </c>
      <c r="E85" s="1">
        <f>$E$2</f>
        <v>9.9459999999999997</v>
      </c>
      <c r="F85">
        <f>D85/E85+F84</f>
        <v>2.4657516069006173</v>
      </c>
      <c r="G85">
        <f>0.5*(LN(C85/B85)-0.5)</f>
        <v>7.3953512893114688</v>
      </c>
      <c r="H85">
        <f t="shared" si="22"/>
        <v>6.0668560118573318E-5</v>
      </c>
      <c r="I85">
        <f t="shared" si="23"/>
        <v>2123.3996041500659</v>
      </c>
      <c r="J85">
        <f>C85-I85</f>
        <v>34841721.806414016</v>
      </c>
    </row>
    <row r="86" spans="1:10" x14ac:dyDescent="0.25">
      <c r="A86" t="s">
        <v>15</v>
      </c>
      <c r="B86">
        <f>$B$2</f>
        <v>7.97</v>
      </c>
      <c r="C86" s="1">
        <f>J85</f>
        <v>34841721.806414016</v>
      </c>
      <c r="D86">
        <f>$D$2</f>
        <v>0.5</v>
      </c>
      <c r="E86" s="1">
        <f>$E$2</f>
        <v>9.9459999999999997</v>
      </c>
      <c r="F86">
        <f>D86/E86+F85</f>
        <v>2.5160230728165636</v>
      </c>
      <c r="G86">
        <f>0.5*(LN(C86/B86)-0.5)</f>
        <v>7.3953208181580319</v>
      </c>
      <c r="H86">
        <f t="shared" si="22"/>
        <v>6.8690096353466433E-5</v>
      </c>
      <c r="I86">
        <f t="shared" si="23"/>
        <v>2404.1533723713251</v>
      </c>
      <c r="J86">
        <f>C86-I86</f>
        <v>34839317.653041646</v>
      </c>
    </row>
    <row r="87" spans="1:10" x14ac:dyDescent="0.25">
      <c r="A87" t="s">
        <v>15</v>
      </c>
      <c r="B87">
        <f>$B$2</f>
        <v>7.97</v>
      </c>
      <c r="C87" s="1">
        <f>J86</f>
        <v>34839317.653041646</v>
      </c>
      <c r="D87">
        <f>$D$2</f>
        <v>0.5</v>
      </c>
      <c r="E87" s="1">
        <f>$E$2</f>
        <v>9.9459999999999997</v>
      </c>
      <c r="F87">
        <f>D87/E87+F86</f>
        <v>2.5662945387325098</v>
      </c>
      <c r="G87">
        <f>0.5*(LN(C87/B87)-0.5)</f>
        <v>7.395286315897561</v>
      </c>
      <c r="H87">
        <f t="shared" si="22"/>
        <v>7.7543386240870233E-5</v>
      </c>
      <c r="I87">
        <f t="shared" si="23"/>
        <v>2714.0185184304582</v>
      </c>
      <c r="J87">
        <f>C87-I87</f>
        <v>34836603.634523213</v>
      </c>
    </row>
    <row r="88" spans="1:10" x14ac:dyDescent="0.25">
      <c r="A88" t="s">
        <v>15</v>
      </c>
      <c r="B88">
        <f>$B$2</f>
        <v>7.97</v>
      </c>
      <c r="C88" s="1">
        <f>J87</f>
        <v>34836603.634523213</v>
      </c>
      <c r="D88">
        <f>$D$2</f>
        <v>0.5</v>
      </c>
      <c r="E88" s="1">
        <f>$E$2</f>
        <v>9.9459999999999997</v>
      </c>
      <c r="F88">
        <f>D88/E88+F87</f>
        <v>2.616566004648456</v>
      </c>
      <c r="G88">
        <f>0.5*(LN(C88/B88)-0.5)</f>
        <v>7.3952473638683713</v>
      </c>
      <c r="H88">
        <f t="shared" si="22"/>
        <v>8.729022241414236E-5</v>
      </c>
      <c r="I88">
        <f t="shared" si="23"/>
        <v>3055.1577844949825</v>
      </c>
      <c r="J88">
        <f>C88-I88</f>
        <v>34833548.476738721</v>
      </c>
    </row>
    <row r="89" spans="1:10" x14ac:dyDescent="0.25">
      <c r="A89" t="s">
        <v>15</v>
      </c>
      <c r="B89">
        <f>$B$2</f>
        <v>7.97</v>
      </c>
      <c r="C89" s="1">
        <f>J88</f>
        <v>34833548.476738721</v>
      </c>
      <c r="D89">
        <f>$D$2</f>
        <v>0.5</v>
      </c>
      <c r="E89" s="1">
        <f>$E$2</f>
        <v>9.9459999999999997</v>
      </c>
      <c r="F89">
        <f>D89/E89+F88</f>
        <v>2.6668374705644022</v>
      </c>
      <c r="G89">
        <f>0.5*(LN(C89/B89)-0.5)</f>
        <v>7.3952035121227686</v>
      </c>
      <c r="H89">
        <f t="shared" si="22"/>
        <v>9.7994976553870359E-5</v>
      </c>
      <c r="I89">
        <f t="shared" si="23"/>
        <v>3429.8241793854627</v>
      </c>
      <c r="J89">
        <f>C89-I89</f>
        <v>34830118.652559333</v>
      </c>
    </row>
    <row r="90" spans="1:10" x14ac:dyDescent="0.25">
      <c r="A90" t="s">
        <v>15</v>
      </c>
      <c r="B90">
        <f>$B$2</f>
        <v>7.97</v>
      </c>
      <c r="C90" s="1">
        <f>J89</f>
        <v>34830118.652559333</v>
      </c>
      <c r="D90">
        <f>$D$2</f>
        <v>0.5</v>
      </c>
      <c r="E90" s="1">
        <f>$E$2</f>
        <v>9.9459999999999997</v>
      </c>
      <c r="F90">
        <f>D90/E90+F89</f>
        <v>2.7171089364803485</v>
      </c>
      <c r="G90">
        <f>0.5*(LN(C90/B90)-0.5)</f>
        <v>7.3951542780769097</v>
      </c>
      <c r="H90">
        <f t="shared" si="22"/>
        <v>1.0972458859353933E-4</v>
      </c>
      <c r="I90">
        <f t="shared" si="23"/>
        <v>3840.3606007738763</v>
      </c>
      <c r="J90">
        <f>C90-I90</f>
        <v>34826278.291958556</v>
      </c>
    </row>
    <row r="91" spans="1:10" x14ac:dyDescent="0.25">
      <c r="A91" t="s">
        <v>15</v>
      </c>
      <c r="B91">
        <f>$B$2</f>
        <v>7.97</v>
      </c>
      <c r="C91" s="1">
        <f>J90</f>
        <v>34826278.291958556</v>
      </c>
      <c r="D91">
        <f>$D$2</f>
        <v>0.5</v>
      </c>
      <c r="E91" s="1">
        <f>$E$2</f>
        <v>9.9459999999999997</v>
      </c>
      <c r="F91">
        <f>D91/E91+F90</f>
        <v>2.7673804023962947</v>
      </c>
      <c r="G91">
        <f>0.5*(LN(C91/B91)-0.5)</f>
        <v>7.395099145156272</v>
      </c>
      <c r="H91">
        <f t="shared" ref="H91:H154" si="38">(POWER(F91,G91)*EXP(-F91/2))/(POWER(2,G91+1)*_xlfn.GAMMA(G91+1))</f>
        <v>1.2254855091542338E-4</v>
      </c>
      <c r="I91">
        <f t="shared" ref="I91:I154" si="39">$C$2*H91</f>
        <v>4289.1992820398182</v>
      </c>
      <c r="J91">
        <f>C91-I91</f>
        <v>34821989.092676513</v>
      </c>
    </row>
    <row r="92" spans="1:10" x14ac:dyDescent="0.25">
      <c r="A92" s="3" t="s">
        <v>19</v>
      </c>
      <c r="B92" s="3">
        <f>$B$12</f>
        <v>94.11</v>
      </c>
      <c r="C92" s="1">
        <f>J91</f>
        <v>34821989.092676513</v>
      </c>
      <c r="D92" s="3">
        <f>$D$12</f>
        <v>0.5</v>
      </c>
      <c r="E92" s="3">
        <f>$E$12</f>
        <v>78.8</v>
      </c>
      <c r="F92">
        <f>D92/E92+F91</f>
        <v>2.7737255800612695</v>
      </c>
      <c r="G92">
        <f>0.5*(LN(C92/B92)-0.5)</f>
        <v>6.1606476524035596</v>
      </c>
      <c r="H92">
        <f t="shared" si="38"/>
        <v>9.6124551830142706E-4</v>
      </c>
      <c r="I92">
        <f t="shared" si="39"/>
        <v>33643.59314054995</v>
      </c>
      <c r="J92">
        <f>C92-I92</f>
        <v>34788345.499535963</v>
      </c>
    </row>
    <row r="93" spans="1:10" x14ac:dyDescent="0.25">
      <c r="A93" s="3" t="s">
        <v>19</v>
      </c>
      <c r="B93" s="3">
        <f t="shared" ref="B93:B101" si="40">$B$12</f>
        <v>94.11</v>
      </c>
      <c r="C93" s="1">
        <f t="shared" ref="C93:C101" si="41">J92</f>
        <v>34788345.499535963</v>
      </c>
      <c r="D93" s="3">
        <f t="shared" ref="D93:D101" si="42">$D$12</f>
        <v>0.5</v>
      </c>
      <c r="E93" s="3">
        <f t="shared" ref="E93:E101" si="43">$E$12</f>
        <v>78.8</v>
      </c>
      <c r="F93">
        <f t="shared" ref="F93:F101" si="44">D93/E93+F92</f>
        <v>2.7800707577262442</v>
      </c>
      <c r="G93">
        <f t="shared" ref="G93:G101" si="45">0.5*(LN(C93/B93)-0.5)</f>
        <v>6.160164339172022</v>
      </c>
      <c r="H93">
        <f t="shared" si="38"/>
        <v>9.7252133239211531E-4</v>
      </c>
      <c r="I93">
        <f t="shared" si="39"/>
        <v>34038.246633724033</v>
      </c>
      <c r="J93">
        <f t="shared" ref="J93:J101" si="46">C93-I93</f>
        <v>34754307.25290224</v>
      </c>
    </row>
    <row r="94" spans="1:10" x14ac:dyDescent="0.25">
      <c r="A94" s="3" t="s">
        <v>19</v>
      </c>
      <c r="B94" s="3">
        <f t="shared" si="40"/>
        <v>94.11</v>
      </c>
      <c r="C94" s="1">
        <f t="shared" si="41"/>
        <v>34754307.25290224</v>
      </c>
      <c r="D94" s="3">
        <f t="shared" si="42"/>
        <v>0.5</v>
      </c>
      <c r="E94" s="3">
        <f t="shared" si="43"/>
        <v>78.8</v>
      </c>
      <c r="F94">
        <f t="shared" si="44"/>
        <v>2.786415935391219</v>
      </c>
      <c r="G94">
        <f t="shared" si="45"/>
        <v>6.159674880573526</v>
      </c>
      <c r="H94">
        <f t="shared" si="38"/>
        <v>9.8390510270275882E-4</v>
      </c>
      <c r="I94">
        <f t="shared" si="39"/>
        <v>34436.67859459656</v>
      </c>
      <c r="J94">
        <f t="shared" si="46"/>
        <v>34719870.574307643</v>
      </c>
    </row>
    <row r="95" spans="1:10" x14ac:dyDescent="0.25">
      <c r="A95" s="3" t="s">
        <v>19</v>
      </c>
      <c r="B95" s="3">
        <f t="shared" si="40"/>
        <v>94.11</v>
      </c>
      <c r="C95" s="1">
        <f t="shared" si="41"/>
        <v>34719870.574307643</v>
      </c>
      <c r="D95" s="3">
        <f t="shared" si="42"/>
        <v>0.5</v>
      </c>
      <c r="E95" s="3">
        <f t="shared" si="43"/>
        <v>78.8</v>
      </c>
      <c r="F95">
        <f t="shared" si="44"/>
        <v>2.7927611130561938</v>
      </c>
      <c r="G95">
        <f t="shared" si="45"/>
        <v>6.1591792045901332</v>
      </c>
      <c r="H95">
        <f t="shared" si="38"/>
        <v>9.9539774877225348E-4</v>
      </c>
      <c r="I95">
        <f t="shared" si="39"/>
        <v>34838.92120702887</v>
      </c>
      <c r="J95">
        <f t="shared" si="46"/>
        <v>34685031.653100617</v>
      </c>
    </row>
    <row r="96" spans="1:10" x14ac:dyDescent="0.25">
      <c r="A96" s="3" t="s">
        <v>19</v>
      </c>
      <c r="B96" s="3">
        <f t="shared" si="40"/>
        <v>94.11</v>
      </c>
      <c r="C96" s="1">
        <f t="shared" si="41"/>
        <v>34685031.653100617</v>
      </c>
      <c r="D96" s="3">
        <f t="shared" si="42"/>
        <v>0.5</v>
      </c>
      <c r="E96" s="3">
        <f t="shared" si="43"/>
        <v>78.8</v>
      </c>
      <c r="F96">
        <f t="shared" si="44"/>
        <v>2.7991062907211686</v>
      </c>
      <c r="G96">
        <f t="shared" si="45"/>
        <v>6.1586772382590089</v>
      </c>
      <c r="H96">
        <f t="shared" si="38"/>
        <v>1.0070002004685177E-3</v>
      </c>
      <c r="I96">
        <f t="shared" si="39"/>
        <v>35245.007016398122</v>
      </c>
      <c r="J96">
        <f t="shared" si="46"/>
        <v>34649786.646084219</v>
      </c>
    </row>
    <row r="97" spans="1:10" x14ac:dyDescent="0.25">
      <c r="A97" s="3" t="s">
        <v>19</v>
      </c>
      <c r="B97" s="3">
        <f t="shared" si="40"/>
        <v>94.11</v>
      </c>
      <c r="C97" s="1">
        <f t="shared" si="41"/>
        <v>34649786.646084219</v>
      </c>
      <c r="D97" s="3">
        <f t="shared" si="42"/>
        <v>0.5</v>
      </c>
      <c r="E97" s="3">
        <f t="shared" si="43"/>
        <v>78.8</v>
      </c>
      <c r="F97">
        <f t="shared" si="44"/>
        <v>2.8054514683861433</v>
      </c>
      <c r="G97">
        <f t="shared" si="45"/>
        <v>6.1581689076551829</v>
      </c>
      <c r="H97">
        <f t="shared" si="38"/>
        <v>1.0187133981891035E-3</v>
      </c>
      <c r="I97">
        <f t="shared" si="39"/>
        <v>35654.968936618621</v>
      </c>
      <c r="J97">
        <f t="shared" si="46"/>
        <v>34614131.677147597</v>
      </c>
    </row>
    <row r="98" spans="1:10" x14ac:dyDescent="0.25">
      <c r="A98" s="3" t="s">
        <v>19</v>
      </c>
      <c r="B98" s="3">
        <f t="shared" si="40"/>
        <v>94.11</v>
      </c>
      <c r="C98" s="1">
        <f t="shared" si="41"/>
        <v>34614131.677147597</v>
      </c>
      <c r="D98" s="3">
        <f t="shared" si="42"/>
        <v>0.5</v>
      </c>
      <c r="E98" s="3">
        <f t="shared" si="43"/>
        <v>78.8</v>
      </c>
      <c r="F98">
        <f t="shared" si="44"/>
        <v>2.8117966460511181</v>
      </c>
      <c r="G98">
        <f t="shared" si="45"/>
        <v>6.1576541378739007</v>
      </c>
      <c r="H98">
        <f t="shared" si="38"/>
        <v>1.0305382930667635E-3</v>
      </c>
      <c r="I98">
        <f t="shared" si="39"/>
        <v>36068.84025733672</v>
      </c>
      <c r="J98">
        <f t="shared" si="46"/>
        <v>34578062.836890258</v>
      </c>
    </row>
    <row r="99" spans="1:10" x14ac:dyDescent="0.25">
      <c r="A99" s="3" t="s">
        <v>19</v>
      </c>
      <c r="B99" s="3">
        <f t="shared" si="40"/>
        <v>94.11</v>
      </c>
      <c r="C99" s="1">
        <f t="shared" si="41"/>
        <v>34578062.836890258</v>
      </c>
      <c r="D99" s="3">
        <f t="shared" si="42"/>
        <v>0.5</v>
      </c>
      <c r="E99" s="3">
        <f t="shared" si="43"/>
        <v>78.8</v>
      </c>
      <c r="F99">
        <f t="shared" si="44"/>
        <v>2.8181418237160929</v>
      </c>
      <c r="G99">
        <f t="shared" si="45"/>
        <v>6.1571328530125413</v>
      </c>
      <c r="H99">
        <f t="shared" si="38"/>
        <v>1.0424758471802159E-3</v>
      </c>
      <c r="I99">
        <f t="shared" si="39"/>
        <v>36486.654651307559</v>
      </c>
      <c r="J99">
        <f t="shared" si="46"/>
        <v>34541576.182238951</v>
      </c>
    </row>
    <row r="100" spans="1:10" x14ac:dyDescent="0.25">
      <c r="A100" s="3" t="s">
        <v>19</v>
      </c>
      <c r="B100" s="3">
        <f t="shared" si="40"/>
        <v>94.11</v>
      </c>
      <c r="C100" s="1">
        <f t="shared" si="41"/>
        <v>34541576.182238951</v>
      </c>
      <c r="D100" s="3">
        <f t="shared" si="42"/>
        <v>0.5</v>
      </c>
      <c r="E100" s="3">
        <f t="shared" si="43"/>
        <v>78.8</v>
      </c>
      <c r="F100">
        <f t="shared" si="44"/>
        <v>2.8244870013810677</v>
      </c>
      <c r="G100">
        <f t="shared" si="45"/>
        <v>6.1566049761520985</v>
      </c>
      <c r="H100">
        <f t="shared" si="38"/>
        <v>1.0545270337701718E-3</v>
      </c>
      <c r="I100">
        <f t="shared" si="39"/>
        <v>36908.446181956009</v>
      </c>
      <c r="J100">
        <f t="shared" si="46"/>
        <v>34504667.736056998</v>
      </c>
    </row>
    <row r="101" spans="1:10" x14ac:dyDescent="0.25">
      <c r="A101" s="3" t="s">
        <v>19</v>
      </c>
      <c r="B101" s="3">
        <f t="shared" si="40"/>
        <v>94.11</v>
      </c>
      <c r="C101" s="1">
        <f t="shared" si="41"/>
        <v>34504667.736056998</v>
      </c>
      <c r="D101" s="3">
        <f t="shared" si="42"/>
        <v>0.5</v>
      </c>
      <c r="E101" s="3">
        <f t="shared" si="43"/>
        <v>78.8</v>
      </c>
      <c r="F101">
        <f t="shared" si="44"/>
        <v>2.8308321790460425</v>
      </c>
      <c r="G101">
        <f t="shared" si="45"/>
        <v>6.1560704293382118</v>
      </c>
      <c r="H101">
        <f t="shared" si="38"/>
        <v>1.0666928374608261E-3</v>
      </c>
      <c r="I101">
        <f t="shared" si="39"/>
        <v>37334.249311128915</v>
      </c>
      <c r="J101">
        <f t="shared" si="46"/>
        <v>34467333.486745872</v>
      </c>
    </row>
    <row r="102" spans="1:10" x14ac:dyDescent="0.25">
      <c r="A102" t="s">
        <v>15</v>
      </c>
      <c r="B102">
        <f>$B$2</f>
        <v>7.97</v>
      </c>
      <c r="C102" s="1">
        <f>J101</f>
        <v>34467333.486745872</v>
      </c>
      <c r="D102">
        <f>$D$2</f>
        <v>0.5</v>
      </c>
      <c r="E102" s="1">
        <f>$E$2</f>
        <v>9.9459999999999997</v>
      </c>
      <c r="F102">
        <f>D102/E102+F101</f>
        <v>2.8811036449619887</v>
      </c>
      <c r="G102">
        <f>0.5*(LN(C102/B102)-0.5)</f>
        <v>7.3899190425960155</v>
      </c>
      <c r="H102">
        <f t="shared" si="38"/>
        <v>1.5731926207743492E-4</v>
      </c>
      <c r="I102">
        <f t="shared" si="39"/>
        <v>5506.1741727102226</v>
      </c>
      <c r="J102">
        <f>C102-I102</f>
        <v>34461827.312573165</v>
      </c>
    </row>
    <row r="103" spans="1:10" x14ac:dyDescent="0.25">
      <c r="A103" t="s">
        <v>15</v>
      </c>
      <c r="B103">
        <f>$B$2</f>
        <v>7.97</v>
      </c>
      <c r="C103" s="1">
        <f>J102</f>
        <v>34461827.312573165</v>
      </c>
      <c r="D103">
        <f>$D$2</f>
        <v>0.5</v>
      </c>
      <c r="E103" s="1">
        <f>$E$2</f>
        <v>9.9459999999999997</v>
      </c>
      <c r="F103">
        <f>D103/E103+F102</f>
        <v>2.9313751108779349</v>
      </c>
      <c r="G103">
        <f>0.5*(LN(C103/B103)-0.5)</f>
        <v>7.3898391609592657</v>
      </c>
      <c r="H103">
        <f t="shared" si="38"/>
        <v>1.7435759957733449E-4</v>
      </c>
      <c r="I103">
        <f t="shared" si="39"/>
        <v>6102.5159852067072</v>
      </c>
      <c r="J103">
        <f>C103-I103</f>
        <v>34455724.796587959</v>
      </c>
    </row>
    <row r="104" spans="1:10" x14ac:dyDescent="0.25">
      <c r="A104" t="s">
        <v>15</v>
      </c>
      <c r="B104">
        <f>$B$2</f>
        <v>7.97</v>
      </c>
      <c r="C104" s="1">
        <f>J103</f>
        <v>34455724.796587959</v>
      </c>
      <c r="D104">
        <f>$D$2</f>
        <v>0.5</v>
      </c>
      <c r="E104" s="1">
        <f>$E$2</f>
        <v>9.9459999999999997</v>
      </c>
      <c r="F104">
        <f>D104/E104+F103</f>
        <v>2.9816465767938811</v>
      </c>
      <c r="G104">
        <f>0.5*(LN(C104/B104)-0.5)</f>
        <v>7.3897506128925636</v>
      </c>
      <c r="H104">
        <f t="shared" si="38"/>
        <v>1.9282392578447985E-4</v>
      </c>
      <c r="I104">
        <f t="shared" si="39"/>
        <v>6748.8374024567947</v>
      </c>
      <c r="J104">
        <f>C104-I104</f>
        <v>34448975.959185503</v>
      </c>
    </row>
    <row r="105" spans="1:10" x14ac:dyDescent="0.25">
      <c r="A105" t="s">
        <v>15</v>
      </c>
      <c r="B105">
        <f>$B$2</f>
        <v>7.97</v>
      </c>
      <c r="C105" s="1">
        <f>J104</f>
        <v>34448975.959185503</v>
      </c>
      <c r="D105">
        <f>$D$2</f>
        <v>0.5</v>
      </c>
      <c r="E105" s="1">
        <f>$E$2</f>
        <v>9.9459999999999997</v>
      </c>
      <c r="F105">
        <f>D105/E105+F104</f>
        <v>3.0319180427098273</v>
      </c>
      <c r="G105">
        <f>0.5*(LN(C105/B105)-0.5)</f>
        <v>7.3896526683786181</v>
      </c>
      <c r="H105">
        <f t="shared" si="38"/>
        <v>2.1280114078902284E-4</v>
      </c>
      <c r="I105">
        <f t="shared" si="39"/>
        <v>7448.0399276157996</v>
      </c>
      <c r="J105">
        <f>C105-I105</f>
        <v>34441527.919257887</v>
      </c>
    </row>
    <row r="106" spans="1:10" x14ac:dyDescent="0.25">
      <c r="A106" t="s">
        <v>15</v>
      </c>
      <c r="B106">
        <f>$B$2</f>
        <v>7.97</v>
      </c>
      <c r="C106" s="1">
        <f>J105</f>
        <v>34441527.919257887</v>
      </c>
      <c r="D106">
        <f>$D$2</f>
        <v>0.5</v>
      </c>
      <c r="E106" s="1">
        <f>$E$2</f>
        <v>9.9459999999999997</v>
      </c>
      <c r="F106">
        <f>D106/E106+F105</f>
        <v>3.0821895086257736</v>
      </c>
      <c r="G106">
        <f>0.5*(LN(C106/B106)-0.5)</f>
        <v>7.389544554204134</v>
      </c>
      <c r="H106">
        <f t="shared" si="38"/>
        <v>2.3437450372443155E-4</v>
      </c>
      <c r="I106">
        <f t="shared" si="39"/>
        <v>8203.1076303551035</v>
      </c>
      <c r="J106">
        <f>C106-I106</f>
        <v>34433324.81162753</v>
      </c>
    </row>
    <row r="107" spans="1:10" x14ac:dyDescent="0.25">
      <c r="A107" t="s">
        <v>15</v>
      </c>
      <c r="B107">
        <f>$B$2</f>
        <v>7.97</v>
      </c>
      <c r="C107" s="1">
        <f>J106</f>
        <v>34433324.81162753</v>
      </c>
      <c r="D107">
        <f>$D$2</f>
        <v>0.5</v>
      </c>
      <c r="E107" s="1">
        <f>$E$2</f>
        <v>9.9459999999999997</v>
      </c>
      <c r="F107">
        <f>D107/E107+F106</f>
        <v>3.1324609745417198</v>
      </c>
      <c r="G107">
        <f>0.5*(LN(C107/B107)-0.5)</f>
        <v>7.3894254525677034</v>
      </c>
      <c r="H107">
        <f t="shared" si="38"/>
        <v>2.5763158778748316E-4</v>
      </c>
      <c r="I107">
        <f t="shared" si="39"/>
        <v>9017.1055725619099</v>
      </c>
      <c r="J107">
        <f>C107-I107</f>
        <v>34424307.706054971</v>
      </c>
    </row>
    <row r="108" spans="1:10" x14ac:dyDescent="0.25">
      <c r="A108" t="s">
        <v>15</v>
      </c>
      <c r="B108">
        <f>$B$2</f>
        <v>7.97</v>
      </c>
      <c r="C108" s="1">
        <f>J107</f>
        <v>34424307.706054971</v>
      </c>
      <c r="D108">
        <f>$D$2</f>
        <v>0.5</v>
      </c>
      <c r="E108" s="1">
        <f>$E$2</f>
        <v>9.9459999999999997</v>
      </c>
      <c r="F108">
        <f>D108/E108+F107</f>
        <v>3.182732440457666</v>
      </c>
      <c r="G108">
        <f>0.5*(LN(C108/B108)-0.5)</f>
        <v>7.3892944996828254</v>
      </c>
      <c r="H108">
        <f t="shared" si="38"/>
        <v>2.8266223257757616E-4</v>
      </c>
      <c r="I108">
        <f t="shared" si="39"/>
        <v>9893.1781402151664</v>
      </c>
      <c r="J108">
        <f>C108-I108</f>
        <v>34414414.527914755</v>
      </c>
    </row>
    <row r="109" spans="1:10" x14ac:dyDescent="0.25">
      <c r="A109" t="s">
        <v>15</v>
      </c>
      <c r="B109">
        <f>$B$2</f>
        <v>7.97</v>
      </c>
      <c r="C109" s="1">
        <f>J108</f>
        <v>34414414.527914755</v>
      </c>
      <c r="D109">
        <f>$D$2</f>
        <v>0.5</v>
      </c>
      <c r="E109" s="1">
        <f>$E$2</f>
        <v>9.9459999999999997</v>
      </c>
      <c r="F109">
        <f>D109/E109+F108</f>
        <v>3.2330039063736122</v>
      </c>
      <c r="G109">
        <f>0.5*(LN(C109/B109)-0.5)</f>
        <v>7.3891507843742419</v>
      </c>
      <c r="H109">
        <f t="shared" si="38"/>
        <v>3.0955849410980676E-4</v>
      </c>
      <c r="I109">
        <f t="shared" si="39"/>
        <v>10834.547293843236</v>
      </c>
      <c r="J109">
        <f>C109-I109</f>
        <v>34403579.980620913</v>
      </c>
    </row>
    <row r="110" spans="1:10" x14ac:dyDescent="0.25">
      <c r="A110" t="s">
        <v>15</v>
      </c>
      <c r="B110">
        <f>$B$2</f>
        <v>7.97</v>
      </c>
      <c r="C110" s="1">
        <f>J109</f>
        <v>34403579.980620913</v>
      </c>
      <c r="D110">
        <f>$D$2</f>
        <v>0.5</v>
      </c>
      <c r="E110" s="1">
        <f>$E$2</f>
        <v>9.9459999999999997</v>
      </c>
      <c r="F110">
        <f>D110/E110+F109</f>
        <v>3.2832753722895585</v>
      </c>
      <c r="G110">
        <f>0.5*(LN(C110/B110)-0.5)</f>
        <v>7.3889933466653881</v>
      </c>
      <c r="H110">
        <f t="shared" si="38"/>
        <v>3.3841459286671827E-4</v>
      </c>
      <c r="I110">
        <f t="shared" si="39"/>
        <v>11844.510750335139</v>
      </c>
      <c r="J110">
        <f>C110-I110</f>
        <v>34391735.469870575</v>
      </c>
    </row>
    <row r="111" spans="1:10" x14ac:dyDescent="0.25">
      <c r="A111" t="s">
        <v>15</v>
      </c>
      <c r="B111">
        <f>$B$2</f>
        <v>7.97</v>
      </c>
      <c r="C111" s="1">
        <f>J110</f>
        <v>34391735.469870575</v>
      </c>
      <c r="D111">
        <f>$D$2</f>
        <v>0.5</v>
      </c>
      <c r="E111" s="1">
        <f>$E$2</f>
        <v>9.9459999999999997</v>
      </c>
      <c r="F111">
        <f>D111/E111+F110</f>
        <v>3.3335468382055047</v>
      </c>
      <c r="G111">
        <f>0.5*(LN(C111/B111)-0.5)</f>
        <v>7.3888211763542291</v>
      </c>
      <c r="H111">
        <f t="shared" si="38"/>
        <v>3.6932686026282274E-4</v>
      </c>
      <c r="I111">
        <f t="shared" si="39"/>
        <v>12926.440109198797</v>
      </c>
      <c r="J111">
        <f>C111-I111</f>
        <v>34378809.029761374</v>
      </c>
    </row>
    <row r="112" spans="1:10" x14ac:dyDescent="0.25">
      <c r="A112" s="3" t="s">
        <v>19</v>
      </c>
      <c r="B112" s="3">
        <f>$B$12</f>
        <v>94.11</v>
      </c>
      <c r="C112" s="1">
        <f>J111</f>
        <v>34378809.029761374</v>
      </c>
      <c r="D112" s="3">
        <f>$D$12</f>
        <v>0.5</v>
      </c>
      <c r="E112" s="3">
        <f>$E$12</f>
        <v>78.8</v>
      </c>
      <c r="F112">
        <f>D112/E112+F111</f>
        <v>3.3398920158704795</v>
      </c>
      <c r="G112">
        <f>0.5*(LN(C112/B112)-0.5)</f>
        <v>6.1542433025400287</v>
      </c>
      <c r="H112">
        <f t="shared" si="38"/>
        <v>2.2946413574101267E-3</v>
      </c>
      <c r="I112">
        <f t="shared" si="39"/>
        <v>80312.447509354432</v>
      </c>
      <c r="J112">
        <f>C112-I112</f>
        <v>34298496.582252018</v>
      </c>
    </row>
    <row r="113" spans="1:10" x14ac:dyDescent="0.25">
      <c r="A113" s="3" t="s">
        <v>19</v>
      </c>
      <c r="B113" s="3">
        <f t="shared" ref="B113:B121" si="47">$B$12</f>
        <v>94.11</v>
      </c>
      <c r="C113" s="1">
        <f t="shared" ref="C113:C121" si="48">J112</f>
        <v>34298496.582252018</v>
      </c>
      <c r="D113" s="3">
        <f t="shared" ref="D113:D121" si="49">$D$12</f>
        <v>0.5</v>
      </c>
      <c r="E113" s="3">
        <f t="shared" ref="E113:E121" si="50">$E$12</f>
        <v>78.8</v>
      </c>
      <c r="F113">
        <f t="shared" ref="F113:F121" si="51">D113/E113+F112</f>
        <v>3.3462371935354542</v>
      </c>
      <c r="G113">
        <f t="shared" ref="G113:G121" si="52">0.5*(LN(C113/B113)-0.5)</f>
        <v>6.1530738844418114</v>
      </c>
      <c r="H113">
        <f t="shared" si="38"/>
        <v>2.3179895942572974E-3</v>
      </c>
      <c r="I113">
        <f t="shared" si="39"/>
        <v>81129.635799005409</v>
      </c>
      <c r="J113">
        <f t="shared" ref="J113:J121" si="53">C113-I113</f>
        <v>34217366.946453013</v>
      </c>
    </row>
    <row r="114" spans="1:10" x14ac:dyDescent="0.25">
      <c r="A114" s="3" t="s">
        <v>19</v>
      </c>
      <c r="B114" s="3">
        <f t="shared" si="47"/>
        <v>94.11</v>
      </c>
      <c r="C114" s="1">
        <f t="shared" si="48"/>
        <v>34217366.946453013</v>
      </c>
      <c r="D114" s="3">
        <f t="shared" si="49"/>
        <v>0.5</v>
      </c>
      <c r="E114" s="3">
        <f t="shared" si="50"/>
        <v>78.8</v>
      </c>
      <c r="F114">
        <f t="shared" si="51"/>
        <v>3.352582371200429</v>
      </c>
      <c r="G114">
        <f t="shared" si="52"/>
        <v>6.1518897838622113</v>
      </c>
      <c r="H114">
        <f t="shared" si="38"/>
        <v>2.3415601505749864E-3</v>
      </c>
      <c r="I114">
        <f t="shared" si="39"/>
        <v>81954.605270124521</v>
      </c>
      <c r="J114">
        <f t="shared" si="53"/>
        <v>34135412.341182888</v>
      </c>
    </row>
    <row r="115" spans="1:10" x14ac:dyDescent="0.25">
      <c r="A115" s="3" t="s">
        <v>19</v>
      </c>
      <c r="B115" s="3">
        <f t="shared" si="47"/>
        <v>94.11</v>
      </c>
      <c r="C115" s="1">
        <f t="shared" si="48"/>
        <v>34135412.341182888</v>
      </c>
      <c r="D115" s="3">
        <f t="shared" si="49"/>
        <v>0.5</v>
      </c>
      <c r="E115" s="3">
        <f t="shared" si="50"/>
        <v>78.8</v>
      </c>
      <c r="F115">
        <f t="shared" si="51"/>
        <v>3.3589275488654038</v>
      </c>
      <c r="G115">
        <f t="shared" si="52"/>
        <v>6.1506907888045621</v>
      </c>
      <c r="H115">
        <f t="shared" si="38"/>
        <v>2.365355681066912E-3</v>
      </c>
      <c r="I115">
        <f t="shared" si="39"/>
        <v>82787.448837341915</v>
      </c>
      <c r="J115">
        <f t="shared" si="53"/>
        <v>34052624.892345548</v>
      </c>
    </row>
    <row r="116" spans="1:10" x14ac:dyDescent="0.25">
      <c r="A116" s="3" t="s">
        <v>19</v>
      </c>
      <c r="B116" s="3">
        <f t="shared" si="47"/>
        <v>94.11</v>
      </c>
      <c r="C116" s="1">
        <f t="shared" si="48"/>
        <v>34052624.892345548</v>
      </c>
      <c r="D116" s="3">
        <f t="shared" si="49"/>
        <v>0.5</v>
      </c>
      <c r="E116" s="3">
        <f t="shared" si="50"/>
        <v>78.8</v>
      </c>
      <c r="F116">
        <f t="shared" si="51"/>
        <v>3.3652727265303786</v>
      </c>
      <c r="G116">
        <f t="shared" si="52"/>
        <v>6.1494766830336118</v>
      </c>
      <c r="H116">
        <f t="shared" si="38"/>
        <v>2.3893788933821531E-3</v>
      </c>
      <c r="I116">
        <f t="shared" si="39"/>
        <v>83628.261268375354</v>
      </c>
      <c r="J116">
        <f t="shared" si="53"/>
        <v>33968996.63107717</v>
      </c>
    </row>
    <row r="117" spans="1:10" x14ac:dyDescent="0.25">
      <c r="A117" s="3" t="s">
        <v>19</v>
      </c>
      <c r="B117" s="3">
        <f t="shared" si="47"/>
        <v>94.11</v>
      </c>
      <c r="C117" s="1">
        <f t="shared" si="48"/>
        <v>33968996.63107717</v>
      </c>
      <c r="D117" s="3">
        <f t="shared" si="49"/>
        <v>0.5</v>
      </c>
      <c r="E117" s="3">
        <f t="shared" si="50"/>
        <v>78.8</v>
      </c>
      <c r="F117">
        <f t="shared" si="51"/>
        <v>3.3716179041953533</v>
      </c>
      <c r="G117">
        <f t="shared" si="52"/>
        <v>6.1482472459585971</v>
      </c>
      <c r="H117">
        <f t="shared" si="38"/>
        <v>2.4136325496495435E-3</v>
      </c>
      <c r="I117">
        <f t="shared" si="39"/>
        <v>84477.139237734023</v>
      </c>
      <c r="J117">
        <f t="shared" si="53"/>
        <v>33884519.491839439</v>
      </c>
    </row>
    <row r="118" spans="1:10" x14ac:dyDescent="0.25">
      <c r="A118" s="3" t="s">
        <v>19</v>
      </c>
      <c r="B118" s="3">
        <f t="shared" si="47"/>
        <v>94.11</v>
      </c>
      <c r="C118" s="1">
        <f t="shared" si="48"/>
        <v>33884519.491839439</v>
      </c>
      <c r="D118" s="3">
        <f t="shared" si="49"/>
        <v>0.5</v>
      </c>
      <c r="E118" s="3">
        <f t="shared" si="50"/>
        <v>78.8</v>
      </c>
      <c r="F118">
        <f t="shared" si="51"/>
        <v>3.3779630818603281</v>
      </c>
      <c r="G118">
        <f t="shared" si="52"/>
        <v>6.1470022525122516</v>
      </c>
      <c r="H118">
        <f t="shared" si="38"/>
        <v>2.4381194680676722E-3</v>
      </c>
      <c r="I118">
        <f t="shared" si="39"/>
        <v>85334.181382368522</v>
      </c>
      <c r="J118">
        <f t="shared" si="53"/>
        <v>33799185.310457073</v>
      </c>
    </row>
    <row r="119" spans="1:10" x14ac:dyDescent="0.25">
      <c r="A119" s="3" t="s">
        <v>19</v>
      </c>
      <c r="B119" s="3">
        <f t="shared" si="47"/>
        <v>94.11</v>
      </c>
      <c r="C119" s="1">
        <f t="shared" si="48"/>
        <v>33799185.310457073</v>
      </c>
      <c r="D119" s="3">
        <f t="shared" si="49"/>
        <v>0.5</v>
      </c>
      <c r="E119" s="3">
        <f t="shared" si="50"/>
        <v>78.8</v>
      </c>
      <c r="F119">
        <f t="shared" si="51"/>
        <v>3.3843082595253029</v>
      </c>
      <c r="G119">
        <f t="shared" si="52"/>
        <v>6.1457414730255744</v>
      </c>
      <c r="H119">
        <f t="shared" si="38"/>
        <v>2.4628425245528853E-3</v>
      </c>
      <c r="I119">
        <f t="shared" si="39"/>
        <v>86199.488359350988</v>
      </c>
      <c r="J119">
        <f t="shared" si="53"/>
        <v>33712985.822097719</v>
      </c>
    </row>
    <row r="120" spans="1:10" x14ac:dyDescent="0.25">
      <c r="A120" s="3" t="s">
        <v>19</v>
      </c>
      <c r="B120" s="3">
        <f t="shared" si="47"/>
        <v>94.11</v>
      </c>
      <c r="C120" s="1">
        <f t="shared" si="48"/>
        <v>33712985.822097719</v>
      </c>
      <c r="D120" s="3">
        <f t="shared" si="49"/>
        <v>0.5</v>
      </c>
      <c r="E120" s="3">
        <f t="shared" si="50"/>
        <v>78.8</v>
      </c>
      <c r="F120">
        <f t="shared" si="51"/>
        <v>3.3906534371902777</v>
      </c>
      <c r="G120">
        <f t="shared" si="52"/>
        <v>6.1444646730981738</v>
      </c>
      <c r="H120">
        <f t="shared" si="38"/>
        <v>2.4878046544479378E-3</v>
      </c>
      <c r="I120">
        <f t="shared" si="39"/>
        <v>87073.162905677818</v>
      </c>
      <c r="J120">
        <f t="shared" si="53"/>
        <v>33625912.659192041</v>
      </c>
    </row>
    <row r="121" spans="1:10" x14ac:dyDescent="0.25">
      <c r="A121" s="3" t="s">
        <v>19</v>
      </c>
      <c r="B121" s="3">
        <f t="shared" si="47"/>
        <v>94.11</v>
      </c>
      <c r="C121" s="1">
        <f t="shared" si="48"/>
        <v>33625912.659192041</v>
      </c>
      <c r="D121" s="3">
        <f t="shared" si="49"/>
        <v>0.5</v>
      </c>
      <c r="E121" s="3">
        <f t="shared" si="50"/>
        <v>78.8</v>
      </c>
      <c r="F121">
        <f t="shared" si="51"/>
        <v>3.3969986148552525</v>
      </c>
      <c r="G121">
        <f t="shared" si="52"/>
        <v>6.1431716134640197</v>
      </c>
      <c r="H121">
        <f t="shared" si="38"/>
        <v>2.5130088542938403E-3</v>
      </c>
      <c r="I121">
        <f t="shared" si="39"/>
        <v>87955.30990028441</v>
      </c>
      <c r="J121">
        <f t="shared" si="53"/>
        <v>33537957.349291757</v>
      </c>
    </row>
    <row r="122" spans="1:10" x14ac:dyDescent="0.25">
      <c r="A122" t="s">
        <v>15</v>
      </c>
      <c r="B122">
        <f>$B$2</f>
        <v>7.97</v>
      </c>
      <c r="C122" s="1">
        <f>J121</f>
        <v>33537957.349291757</v>
      </c>
      <c r="D122">
        <f>$D$2</f>
        <v>0.5</v>
      </c>
      <c r="E122" s="1">
        <f>$E$2</f>
        <v>9.9459999999999997</v>
      </c>
      <c r="F122">
        <f>D122/E122+F121</f>
        <v>3.4472700807711987</v>
      </c>
      <c r="G122">
        <f>0.5*(LN(C122/B122)-0.5)</f>
        <v>7.3762519588866651</v>
      </c>
      <c r="H122">
        <f t="shared" si="38"/>
        <v>4.5568443055755032E-4</v>
      </c>
      <c r="I122">
        <f t="shared" si="39"/>
        <v>15948.955069514261</v>
      </c>
      <c r="J122">
        <f>C122-I122</f>
        <v>33522008.394222241</v>
      </c>
    </row>
    <row r="123" spans="1:10" x14ac:dyDescent="0.25">
      <c r="A123" t="s">
        <v>15</v>
      </c>
      <c r="B123">
        <f>$B$2</f>
        <v>7.97</v>
      </c>
      <c r="C123" s="1">
        <f>J122</f>
        <v>33522008.394222241</v>
      </c>
      <c r="D123">
        <f>$D$2</f>
        <v>0.5</v>
      </c>
      <c r="E123" s="1">
        <f>$E$2</f>
        <v>9.9459999999999997</v>
      </c>
      <c r="F123">
        <f>D123/E123+F122</f>
        <v>3.4975415466871449</v>
      </c>
      <c r="G123">
        <f>0.5*(LN(C123/B123)-0.5)</f>
        <v>7.3760141276382685</v>
      </c>
      <c r="H123">
        <f t="shared" si="38"/>
        <v>4.946318826689228E-4</v>
      </c>
      <c r="I123">
        <f t="shared" si="39"/>
        <v>17312.115893412298</v>
      </c>
      <c r="J123">
        <f>C123-I123</f>
        <v>33504696.278328829</v>
      </c>
    </row>
    <row r="124" spans="1:10" x14ac:dyDescent="0.25">
      <c r="A124" t="s">
        <v>15</v>
      </c>
      <c r="B124">
        <f>$B$2</f>
        <v>7.97</v>
      </c>
      <c r="C124" s="1">
        <f>J123</f>
        <v>33504696.278328829</v>
      </c>
      <c r="D124">
        <f>$D$2</f>
        <v>0.5</v>
      </c>
      <c r="E124" s="1">
        <f>$E$2</f>
        <v>9.9459999999999997</v>
      </c>
      <c r="F124">
        <f>D124/E124+F123</f>
        <v>3.5478130126030911</v>
      </c>
      <c r="G124">
        <f>0.5*(LN(C124/B124)-0.5)</f>
        <v>7.3757558407903172</v>
      </c>
      <c r="H124">
        <f t="shared" si="38"/>
        <v>5.3610324372129696E-4</v>
      </c>
      <c r="I124">
        <f t="shared" si="39"/>
        <v>18763.613530245395</v>
      </c>
      <c r="J124">
        <f>C124-I124</f>
        <v>33485932.664798584</v>
      </c>
    </row>
    <row r="125" spans="1:10" x14ac:dyDescent="0.25">
      <c r="A125" t="s">
        <v>15</v>
      </c>
      <c r="B125">
        <f>$B$2</f>
        <v>7.97</v>
      </c>
      <c r="C125" s="1">
        <f>J124</f>
        <v>33485932.664798584</v>
      </c>
      <c r="D125">
        <f>$D$2</f>
        <v>0.5</v>
      </c>
      <c r="E125" s="1">
        <f>$E$2</f>
        <v>9.9459999999999997</v>
      </c>
      <c r="F125">
        <f>D125/E125+F124</f>
        <v>3.5980844785190373</v>
      </c>
      <c r="G125">
        <f>0.5*(LN(C125/B125)-0.5)</f>
        <v>7.3754757476740567</v>
      </c>
      <c r="H125">
        <f t="shared" si="38"/>
        <v>5.8020618639608888E-4</v>
      </c>
      <c r="I125">
        <f t="shared" si="39"/>
        <v>20307.21652386311</v>
      </c>
      <c r="J125">
        <f>C125-I125</f>
        <v>33465625.44827472</v>
      </c>
    </row>
    <row r="126" spans="1:10" x14ac:dyDescent="0.25">
      <c r="A126" t="s">
        <v>15</v>
      </c>
      <c r="B126">
        <f>$B$2</f>
        <v>7.97</v>
      </c>
      <c r="C126" s="1">
        <f>J125</f>
        <v>33465625.44827472</v>
      </c>
      <c r="D126">
        <f>$D$2</f>
        <v>0.5</v>
      </c>
      <c r="E126" s="1">
        <f>$E$2</f>
        <v>9.9459999999999997</v>
      </c>
      <c r="F126">
        <f>D126/E126+F125</f>
        <v>3.6483559444349836</v>
      </c>
      <c r="G126">
        <f>0.5*(LN(C126/B126)-0.5)</f>
        <v>7.3751724355821668</v>
      </c>
      <c r="H126">
        <f t="shared" si="38"/>
        <v>6.270501637340042E-4</v>
      </c>
      <c r="I126">
        <f t="shared" si="39"/>
        <v>21946.755730690147</v>
      </c>
      <c r="J126">
        <f>C126-I126</f>
        <v>33443678.692544032</v>
      </c>
    </row>
    <row r="127" spans="1:10" x14ac:dyDescent="0.25">
      <c r="A127" t="s">
        <v>15</v>
      </c>
      <c r="B127">
        <f>$B$2</f>
        <v>7.97</v>
      </c>
      <c r="C127" s="1">
        <f>J126</f>
        <v>33443678.692544032</v>
      </c>
      <c r="D127">
        <f>$D$2</f>
        <v>0.5</v>
      </c>
      <c r="E127" s="1">
        <f>$E$2</f>
        <v>9.9459999999999997</v>
      </c>
      <c r="F127">
        <f>D127/E127+F126</f>
        <v>3.6986274103509298</v>
      </c>
      <c r="G127">
        <f>0.5*(LN(C127/B127)-0.5)</f>
        <v>7.3748444280382293</v>
      </c>
      <c r="H127">
        <f t="shared" si="38"/>
        <v>6.7674635752824441E-4</v>
      </c>
      <c r="I127">
        <f t="shared" si="39"/>
        <v>23686.122513488554</v>
      </c>
      <c r="J127">
        <f>C127-I127</f>
        <v>33419992.570030544</v>
      </c>
    </row>
    <row r="128" spans="1:10" x14ac:dyDescent="0.25">
      <c r="A128" t="s">
        <v>15</v>
      </c>
      <c r="B128">
        <f>$B$2</f>
        <v>7.97</v>
      </c>
      <c r="C128" s="1">
        <f>J127</f>
        <v>33419992.570030544</v>
      </c>
      <c r="D128">
        <f>$D$2</f>
        <v>0.5</v>
      </c>
      <c r="E128" s="1">
        <f>$E$2</f>
        <v>9.9459999999999997</v>
      </c>
      <c r="F128">
        <f>D128/E128+F127</f>
        <v>3.748898876266876</v>
      </c>
      <c r="G128">
        <f>0.5*(LN(C128/B128)-0.5)</f>
        <v>7.3744901830041618</v>
      </c>
      <c r="H128">
        <f t="shared" si="38"/>
        <v>7.2940762869477544E-4</v>
      </c>
      <c r="I128">
        <f t="shared" si="39"/>
        <v>25529.267004317142</v>
      </c>
      <c r="J128">
        <f>C128-I128</f>
        <v>33394463.303026225</v>
      </c>
    </row>
    <row r="129" spans="1:10" x14ac:dyDescent="0.25">
      <c r="A129" t="s">
        <v>15</v>
      </c>
      <c r="B129">
        <f>$B$2</f>
        <v>7.97</v>
      </c>
      <c r="C129" s="1">
        <f>J128</f>
        <v>33394463.303026225</v>
      </c>
      <c r="D129">
        <f>$D$2</f>
        <v>0.5</v>
      </c>
      <c r="E129" s="1">
        <f>$E$2</f>
        <v>9.9459999999999997</v>
      </c>
      <c r="F129">
        <f>D129/E129+F128</f>
        <v>3.7991703421828222</v>
      </c>
      <c r="G129">
        <f>0.5*(LN(C129/B129)-0.5)</f>
        <v>7.3741080910165362</v>
      </c>
      <c r="H129">
        <f t="shared" si="38"/>
        <v>7.8514847004783176E-4</v>
      </c>
      <c r="I129">
        <f t="shared" si="39"/>
        <v>27480.19645167411</v>
      </c>
      <c r="J129">
        <f>C129-I129</f>
        <v>33366983.10657455</v>
      </c>
    </row>
    <row r="130" spans="1:10" x14ac:dyDescent="0.25">
      <c r="A130" t="s">
        <v>15</v>
      </c>
      <c r="B130">
        <f>$B$2</f>
        <v>7.97</v>
      </c>
      <c r="C130" s="1">
        <f>J129</f>
        <v>33366983.10657455</v>
      </c>
      <c r="D130">
        <f>$D$2</f>
        <v>0.5</v>
      </c>
      <c r="E130" s="1">
        <f>$E$2</f>
        <v>9.9459999999999997</v>
      </c>
      <c r="F130">
        <f>D130/E130+F129</f>
        <v>3.8494418080987685</v>
      </c>
      <c r="G130">
        <f>0.5*(LN(C130/B130)-0.5)</f>
        <v>7.3736964732418846</v>
      </c>
      <c r="H130">
        <f t="shared" si="38"/>
        <v>8.4408496191226939E-4</v>
      </c>
      <c r="I130">
        <f t="shared" si="39"/>
        <v>29542.973666929429</v>
      </c>
      <c r="J130">
        <f>C130-I130</f>
        <v>33337440.132907622</v>
      </c>
    </row>
    <row r="131" spans="1:10" x14ac:dyDescent="0.25">
      <c r="A131" t="s">
        <v>15</v>
      </c>
      <c r="B131">
        <f>$B$2</f>
        <v>7.97</v>
      </c>
      <c r="C131" s="1">
        <f>J130</f>
        <v>33337440.132907622</v>
      </c>
      <c r="D131">
        <f>$D$2</f>
        <v>0.5</v>
      </c>
      <c r="E131" s="1">
        <f>$E$2</f>
        <v>9.9459999999999997</v>
      </c>
      <c r="F131">
        <f>D131/E131+F130</f>
        <v>3.8997132740147147</v>
      </c>
      <c r="G131">
        <f>0.5*(LN(C131/B131)-0.5)</f>
        <v>7.3732535794401866</v>
      </c>
      <c r="H131">
        <f t="shared" si="38"/>
        <v>9.0633473100873408E-4</v>
      </c>
      <c r="I131">
        <f t="shared" si="39"/>
        <v>31721.715585305694</v>
      </c>
      <c r="J131">
        <f>C131-I131</f>
        <v>33305718.417322315</v>
      </c>
    </row>
    <row r="132" spans="1:10" x14ac:dyDescent="0.25">
      <c r="A132" s="3" t="s">
        <v>19</v>
      </c>
      <c r="B132" s="3">
        <f>$B$12</f>
        <v>94.11</v>
      </c>
      <c r="C132" s="1">
        <f>J131</f>
        <v>33305718.417322315</v>
      </c>
      <c r="D132" s="3">
        <f>$D$12</f>
        <v>0.5</v>
      </c>
      <c r="E132" s="3">
        <f>$E$12</f>
        <v>78.8</v>
      </c>
      <c r="F132">
        <f>D132/E132+F131</f>
        <v>3.9060584516796895</v>
      </c>
      <c r="G132">
        <f>0.5*(LN(C132/B132)-0.5)</f>
        <v>6.1383876767904848</v>
      </c>
      <c r="H132">
        <f t="shared" si="38"/>
        <v>4.6210467750553985E-3</v>
      </c>
      <c r="I132">
        <f t="shared" si="39"/>
        <v>161736.63712693893</v>
      </c>
      <c r="J132">
        <f>C132-I132</f>
        <v>33143981.780195378</v>
      </c>
    </row>
    <row r="133" spans="1:10" x14ac:dyDescent="0.25">
      <c r="A133" s="3" t="s">
        <v>19</v>
      </c>
      <c r="B133" s="3">
        <f t="shared" ref="B133:B141" si="54">$B$12</f>
        <v>94.11</v>
      </c>
      <c r="C133" s="1">
        <f t="shared" ref="C133:C141" si="55">J132</f>
        <v>33143981.780195378</v>
      </c>
      <c r="D133" s="3">
        <f t="shared" ref="D133:D141" si="56">$D$12</f>
        <v>0.5</v>
      </c>
      <c r="E133" s="3">
        <f t="shared" ref="E133:E141" si="57">$E$12</f>
        <v>78.8</v>
      </c>
      <c r="F133">
        <f t="shared" ref="F133:F141" si="58">D133/E133+F132</f>
        <v>3.9124036293446642</v>
      </c>
      <c r="G133">
        <f t="shared" ref="G133:G141" si="59">0.5*(LN(C133/B133)-0.5)</f>
        <v>6.1359537010759997</v>
      </c>
      <c r="H133">
        <f t="shared" si="38"/>
        <v>4.6663999422969201E-3</v>
      </c>
      <c r="I133">
        <f t="shared" si="39"/>
        <v>163323.99798039219</v>
      </c>
      <c r="J133">
        <f t="shared" ref="J133:J141" si="60">C133-I133</f>
        <v>32980657.782214984</v>
      </c>
    </row>
    <row r="134" spans="1:10" x14ac:dyDescent="0.25">
      <c r="A134" s="3" t="s">
        <v>19</v>
      </c>
      <c r="B134" s="3">
        <f t="shared" si="54"/>
        <v>94.11</v>
      </c>
      <c r="C134" s="1">
        <f t="shared" si="55"/>
        <v>32980657.782214984</v>
      </c>
      <c r="D134" s="3">
        <f t="shared" si="56"/>
        <v>0.5</v>
      </c>
      <c r="E134" s="3">
        <f t="shared" si="57"/>
        <v>78.8</v>
      </c>
      <c r="F134">
        <f t="shared" si="58"/>
        <v>3.918748807009639</v>
      </c>
      <c r="G134">
        <f t="shared" si="59"/>
        <v>6.1334837544541676</v>
      </c>
      <c r="H134">
        <f t="shared" si="38"/>
        <v>4.7122876444810292E-3</v>
      </c>
      <c r="I134">
        <f t="shared" si="39"/>
        <v>164930.06755683603</v>
      </c>
      <c r="J134">
        <f t="shared" si="60"/>
        <v>32815727.714658149</v>
      </c>
    </row>
    <row r="135" spans="1:10" x14ac:dyDescent="0.25">
      <c r="A135" s="3" t="s">
        <v>19</v>
      </c>
      <c r="B135" s="3">
        <f t="shared" si="54"/>
        <v>94.11</v>
      </c>
      <c r="C135" s="1">
        <f t="shared" si="55"/>
        <v>32815727.714658149</v>
      </c>
      <c r="D135" s="3">
        <f t="shared" si="56"/>
        <v>0.5</v>
      </c>
      <c r="E135" s="3">
        <f t="shared" si="57"/>
        <v>78.8</v>
      </c>
      <c r="F135">
        <f t="shared" si="58"/>
        <v>3.9250939846746138</v>
      </c>
      <c r="G135">
        <f t="shared" si="59"/>
        <v>6.1309770755271433</v>
      </c>
      <c r="H135">
        <f t="shared" si="38"/>
        <v>4.7587206193465837E-3</v>
      </c>
      <c r="I135">
        <f t="shared" si="39"/>
        <v>166555.22167713044</v>
      </c>
      <c r="J135">
        <f t="shared" si="60"/>
        <v>32649172.492981017</v>
      </c>
    </row>
    <row r="136" spans="1:10" x14ac:dyDescent="0.25">
      <c r="A136" s="3" t="s">
        <v>19</v>
      </c>
      <c r="B136" s="3">
        <f t="shared" si="54"/>
        <v>94.11</v>
      </c>
      <c r="C136" s="1">
        <f t="shared" si="55"/>
        <v>32649172.492981017</v>
      </c>
      <c r="D136" s="3">
        <f t="shared" si="56"/>
        <v>0.5</v>
      </c>
      <c r="E136" s="3">
        <f t="shared" si="57"/>
        <v>78.8</v>
      </c>
      <c r="F136">
        <f t="shared" si="58"/>
        <v>3.9314391623395886</v>
      </c>
      <c r="G136">
        <f t="shared" si="59"/>
        <v>6.1284328788581517</v>
      </c>
      <c r="H136">
        <f t="shared" si="38"/>
        <v>4.8057099613652158E-3</v>
      </c>
      <c r="I136">
        <f t="shared" si="39"/>
        <v>168199.84864778255</v>
      </c>
      <c r="J136">
        <f t="shared" si="60"/>
        <v>32480972.644333236</v>
      </c>
    </row>
    <row r="137" spans="1:10" x14ac:dyDescent="0.25">
      <c r="A137" s="3" t="s">
        <v>19</v>
      </c>
      <c r="B137" s="3">
        <f t="shared" si="54"/>
        <v>94.11</v>
      </c>
      <c r="C137" s="1">
        <f t="shared" si="55"/>
        <v>32480972.644333236</v>
      </c>
      <c r="D137" s="3">
        <f t="shared" si="56"/>
        <v>0.5</v>
      </c>
      <c r="E137" s="3">
        <f t="shared" si="57"/>
        <v>78.8</v>
      </c>
      <c r="F137">
        <f t="shared" si="58"/>
        <v>3.9377843400045633</v>
      </c>
      <c r="G137">
        <f t="shared" si="59"/>
        <v>6.125850353942452</v>
      </c>
      <c r="H137">
        <f t="shared" si="38"/>
        <v>4.8532671378585523E-3</v>
      </c>
      <c r="I137">
        <f t="shared" si="39"/>
        <v>169864.34982504934</v>
      </c>
      <c r="J137">
        <f t="shared" si="60"/>
        <v>32311108.294508185</v>
      </c>
    </row>
    <row r="138" spans="1:10" x14ac:dyDescent="0.25">
      <c r="A138" s="3" t="s">
        <v>19</v>
      </c>
      <c r="B138" s="3">
        <f t="shared" si="54"/>
        <v>94.11</v>
      </c>
      <c r="C138" s="1">
        <f t="shared" si="55"/>
        <v>32311108.294508185</v>
      </c>
      <c r="D138" s="3">
        <f t="shared" si="56"/>
        <v>0.5</v>
      </c>
      <c r="E138" s="3">
        <f t="shared" si="57"/>
        <v>78.8</v>
      </c>
      <c r="F138">
        <f t="shared" si="58"/>
        <v>3.9441295176695381</v>
      </c>
      <c r="G138">
        <f t="shared" si="59"/>
        <v>6.1232286641226885</v>
      </c>
      <c r="H138">
        <f t="shared" si="38"/>
        <v>4.901404006027974E-3</v>
      </c>
      <c r="I138">
        <f t="shared" si="39"/>
        <v>171549.14021097909</v>
      </c>
      <c r="J138">
        <f t="shared" si="60"/>
        <v>32139559.154297207</v>
      </c>
    </row>
    <row r="139" spans="1:10" x14ac:dyDescent="0.25">
      <c r="A139" s="3" t="s">
        <v>19</v>
      </c>
      <c r="B139" s="3">
        <f t="shared" si="54"/>
        <v>94.11</v>
      </c>
      <c r="C139" s="1">
        <f t="shared" si="55"/>
        <v>32139559.154297207</v>
      </c>
      <c r="D139" s="3">
        <f t="shared" si="56"/>
        <v>0.5</v>
      </c>
      <c r="E139" s="3">
        <f t="shared" si="57"/>
        <v>78.8</v>
      </c>
      <c r="F139">
        <f t="shared" si="58"/>
        <v>3.9504746953345129</v>
      </c>
      <c r="G139">
        <f t="shared" si="59"/>
        <v>6.1205669454449971</v>
      </c>
      <c r="H139">
        <f t="shared" si="38"/>
        <v>4.9501328309587188E-3</v>
      </c>
      <c r="I139">
        <f t="shared" si="39"/>
        <v>173254.64908355515</v>
      </c>
      <c r="J139">
        <f t="shared" si="60"/>
        <v>31966304.505213652</v>
      </c>
    </row>
    <row r="140" spans="1:10" x14ac:dyDescent="0.25">
      <c r="A140" s="3" t="s">
        <v>19</v>
      </c>
      <c r="B140" s="3">
        <f t="shared" si="54"/>
        <v>94.11</v>
      </c>
      <c r="C140" s="1">
        <f t="shared" si="55"/>
        <v>31966304.505213652</v>
      </c>
      <c r="D140" s="3">
        <f t="shared" si="56"/>
        <v>0.5</v>
      </c>
      <c r="E140" s="3">
        <f t="shared" si="57"/>
        <v>78.8</v>
      </c>
      <c r="F140">
        <f t="shared" si="58"/>
        <v>3.9568198729994877</v>
      </c>
      <c r="G140">
        <f t="shared" si="59"/>
        <v>6.1178643054519366</v>
      </c>
      <c r="H140">
        <f t="shared" si="38"/>
        <v>4.9994663046657121E-3</v>
      </c>
      <c r="I140">
        <f t="shared" si="39"/>
        <v>174981.32066329994</v>
      </c>
      <c r="J140">
        <f t="shared" si="60"/>
        <v>31791323.184550352</v>
      </c>
    </row>
    <row r="141" spans="1:10" x14ac:dyDescent="0.25">
      <c r="A141" s="3" t="s">
        <v>19</v>
      </c>
      <c r="B141" s="3">
        <f t="shared" si="54"/>
        <v>94.11</v>
      </c>
      <c r="C141" s="1">
        <f t="shared" si="55"/>
        <v>31791323.184550352</v>
      </c>
      <c r="D141" s="3">
        <f t="shared" si="56"/>
        <v>0.5</v>
      </c>
      <c r="E141" s="3">
        <f t="shared" si="57"/>
        <v>78.8</v>
      </c>
      <c r="F141">
        <f t="shared" si="58"/>
        <v>3.9631650506644625</v>
      </c>
      <c r="G141">
        <f t="shared" si="59"/>
        <v>6.1151198219080172</v>
      </c>
      <c r="H141">
        <f t="shared" si="38"/>
        <v>5.049417566253901E-3</v>
      </c>
      <c r="I141">
        <f t="shared" si="39"/>
        <v>176729.61481888653</v>
      </c>
      <c r="J141">
        <f t="shared" si="60"/>
        <v>31614593.569731466</v>
      </c>
    </row>
    <row r="142" spans="1:10" x14ac:dyDescent="0.25">
      <c r="A142" t="s">
        <v>15</v>
      </c>
      <c r="B142">
        <f>$B$2</f>
        <v>7.97</v>
      </c>
      <c r="C142" s="1">
        <f>J141</f>
        <v>31614593.569731466</v>
      </c>
      <c r="D142">
        <f>$D$2</f>
        <v>0.5</v>
      </c>
      <c r="E142" s="1">
        <f>$E$2</f>
        <v>9.9459999999999997</v>
      </c>
      <c r="F142">
        <f>D142/E142+F141</f>
        <v>4.0134365165804082</v>
      </c>
      <c r="G142">
        <f>0.5*(LN(C142/B142)-0.5)</f>
        <v>7.3467224504875412</v>
      </c>
      <c r="H142">
        <f t="shared" si="38"/>
        <v>1.0974343937246039E-3</v>
      </c>
      <c r="I142">
        <f t="shared" si="39"/>
        <v>38410.203780361138</v>
      </c>
      <c r="J142">
        <f>C142-I142</f>
        <v>31576183.365951106</v>
      </c>
    </row>
    <row r="143" spans="1:10" x14ac:dyDescent="0.25">
      <c r="A143" t="s">
        <v>15</v>
      </c>
      <c r="B143">
        <f>$B$2</f>
        <v>7.97</v>
      </c>
      <c r="C143" s="1">
        <f>J142</f>
        <v>31576183.365951106</v>
      </c>
      <c r="D143">
        <f>$D$2</f>
        <v>0.5</v>
      </c>
      <c r="E143" s="1">
        <f>$E$2</f>
        <v>9.9459999999999997</v>
      </c>
      <c r="F143">
        <f>D143/E143+F142</f>
        <v>4.0637079824963545</v>
      </c>
      <c r="G143">
        <f>0.5*(LN(C143/B143)-0.5)</f>
        <v>7.3461146053181432</v>
      </c>
      <c r="H143">
        <f t="shared" si="38"/>
        <v>1.1736434506946049E-3</v>
      </c>
      <c r="I143">
        <f t="shared" si="39"/>
        <v>41077.520774311175</v>
      </c>
      <c r="J143">
        <f>C143-I143</f>
        <v>31535105.845176794</v>
      </c>
    </row>
    <row r="144" spans="1:10" x14ac:dyDescent="0.25">
      <c r="A144" t="s">
        <v>15</v>
      </c>
      <c r="B144">
        <f>$B$2</f>
        <v>7.97</v>
      </c>
      <c r="C144" s="1">
        <f>J143</f>
        <v>31535105.845176794</v>
      </c>
      <c r="D144">
        <f>$D$2</f>
        <v>0.5</v>
      </c>
      <c r="E144" s="1">
        <f>$E$2</f>
        <v>9.9459999999999997</v>
      </c>
      <c r="F144">
        <f>D144/E144+F143</f>
        <v>4.1139794484123007</v>
      </c>
      <c r="G144">
        <f>0.5*(LN(C144/B144)-0.5)</f>
        <v>7.3454637308535515</v>
      </c>
      <c r="H144">
        <f t="shared" si="38"/>
        <v>1.2537876408508094E-3</v>
      </c>
      <c r="I144">
        <f t="shared" si="39"/>
        <v>43882.567429778326</v>
      </c>
      <c r="J144">
        <f>C144-I144</f>
        <v>31491223.277747016</v>
      </c>
    </row>
    <row r="145" spans="1:10" x14ac:dyDescent="0.25">
      <c r="A145" t="s">
        <v>15</v>
      </c>
      <c r="B145">
        <f>$B$2</f>
        <v>7.97</v>
      </c>
      <c r="C145" s="1">
        <f>J144</f>
        <v>31491223.277747016</v>
      </c>
      <c r="D145">
        <f>$D$2</f>
        <v>0.5</v>
      </c>
      <c r="E145" s="1">
        <f>$E$2</f>
        <v>9.9459999999999997</v>
      </c>
      <c r="F145">
        <f>D145/E145+F144</f>
        <v>4.1642509143282469</v>
      </c>
      <c r="G145">
        <f>0.5*(LN(C145/B145)-0.5)</f>
        <v>7.3447674730335022</v>
      </c>
      <c r="H145">
        <f t="shared" si="38"/>
        <v>1.3379954401781643E-3</v>
      </c>
      <c r="I145">
        <f t="shared" si="39"/>
        <v>46829.840406235751</v>
      </c>
      <c r="J145">
        <f>C145-I145</f>
        <v>31444393.437340781</v>
      </c>
    </row>
    <row r="146" spans="1:10" x14ac:dyDescent="0.25">
      <c r="A146" t="s">
        <v>15</v>
      </c>
      <c r="B146">
        <f>$B$2</f>
        <v>7.97</v>
      </c>
      <c r="C146" s="1">
        <f>J145</f>
        <v>31444393.437340781</v>
      </c>
      <c r="D146">
        <f>$D$2</f>
        <v>0.5</v>
      </c>
      <c r="E146" s="1">
        <f>$E$2</f>
        <v>9.9459999999999997</v>
      </c>
      <c r="F146">
        <f>D146/E146+F145</f>
        <v>4.2145223802441931</v>
      </c>
      <c r="G146">
        <f>0.5*(LN(C146/B146)-0.5)</f>
        <v>7.3440233816669069</v>
      </c>
      <c r="H146">
        <f t="shared" si="38"/>
        <v>1.4263968423195003E-3</v>
      </c>
      <c r="I146">
        <f t="shared" si="39"/>
        <v>49923.889481182508</v>
      </c>
      <c r="J146">
        <f>C146-I146</f>
        <v>31394469.547859598</v>
      </c>
    </row>
    <row r="147" spans="1:10" x14ac:dyDescent="0.25">
      <c r="A147" t="s">
        <v>15</v>
      </c>
      <c r="B147">
        <f>$B$2</f>
        <v>7.97</v>
      </c>
      <c r="C147" s="1">
        <f>J146</f>
        <v>31394469.547859598</v>
      </c>
      <c r="D147">
        <f>$D$2</f>
        <v>0.5</v>
      </c>
      <c r="E147" s="1">
        <f>$E$2</f>
        <v>9.9459999999999997</v>
      </c>
      <c r="F147">
        <f>D147/E147+F146</f>
        <v>4.2647938461601393</v>
      </c>
      <c r="G147">
        <f>0.5*(LN(C147/B147)-0.5)</f>
        <v>7.3432289067573793</v>
      </c>
      <c r="H147">
        <f t="shared" si="38"/>
        <v>1.5191233683879458E-3</v>
      </c>
      <c r="I147">
        <f t="shared" si="39"/>
        <v>53169.317893578103</v>
      </c>
      <c r="J147">
        <f>C147-I147</f>
        <v>31341300.229966018</v>
      </c>
    </row>
    <row r="148" spans="1:10" x14ac:dyDescent="0.25">
      <c r="A148" t="s">
        <v>15</v>
      </c>
      <c r="B148">
        <f>$B$2</f>
        <v>7.97</v>
      </c>
      <c r="C148" s="1">
        <f>J147</f>
        <v>31341300.229966018</v>
      </c>
      <c r="D148">
        <f>$D$2</f>
        <v>0.5</v>
      </c>
      <c r="E148" s="1">
        <f>$E$2</f>
        <v>9.9459999999999997</v>
      </c>
      <c r="F148">
        <f>D148/E148+F147</f>
        <v>4.3150653120760856</v>
      </c>
      <c r="G148">
        <f>0.5*(LN(C148/B148)-0.5)</f>
        <v>7.3423813945516319</v>
      </c>
      <c r="H148">
        <f t="shared" si="38"/>
        <v>1.6163080852434652E-3</v>
      </c>
      <c r="I148">
        <f t="shared" si="39"/>
        <v>56570.782983521283</v>
      </c>
      <c r="J148">
        <f>C148-I148</f>
        <v>31284729.446982495</v>
      </c>
    </row>
    <row r="149" spans="1:10" x14ac:dyDescent="0.25">
      <c r="A149" t="s">
        <v>15</v>
      </c>
      <c r="B149">
        <f>$B$2</f>
        <v>7.97</v>
      </c>
      <c r="C149" s="1">
        <f>J148</f>
        <v>31284729.446982495</v>
      </c>
      <c r="D149">
        <f>$D$2</f>
        <v>0.5</v>
      </c>
      <c r="E149" s="1">
        <f>$E$2</f>
        <v>9.9459999999999997</v>
      </c>
      <c r="F149">
        <f>D149/E149+F148</f>
        <v>4.3653367779920318</v>
      </c>
      <c r="G149">
        <f>0.5*(LN(C149/B149)-0.5)</f>
        <v>7.3414780832821478</v>
      </c>
      <c r="H149">
        <f t="shared" si="38"/>
        <v>1.7180856329010355E-3</v>
      </c>
      <c r="I149">
        <f t="shared" si="39"/>
        <v>60132.997151536241</v>
      </c>
      <c r="J149">
        <f>C149-I149</f>
        <v>31224596.44983096</v>
      </c>
    </row>
    <row r="150" spans="1:10" x14ac:dyDescent="0.25">
      <c r="A150" t="s">
        <v>15</v>
      </c>
      <c r="B150">
        <f>$B$2</f>
        <v>7.97</v>
      </c>
      <c r="C150" s="1">
        <f>J149</f>
        <v>31224596.44983096</v>
      </c>
      <c r="D150">
        <f>$D$2</f>
        <v>0.5</v>
      </c>
      <c r="E150" s="1">
        <f>$E$2</f>
        <v>9.9459999999999997</v>
      </c>
      <c r="F150">
        <f>D150/E150+F149</f>
        <v>4.415608243907978</v>
      </c>
      <c r="G150">
        <f>0.5*(LN(C150/B150)-0.5)</f>
        <v>7.3405160985728557</v>
      </c>
      <c r="H150">
        <f t="shared" si="38"/>
        <v>1.8245922617826332E-3</v>
      </c>
      <c r="I150">
        <f t="shared" si="39"/>
        <v>63860.729162392163</v>
      </c>
      <c r="J150">
        <f>C150-I150</f>
        <v>31160735.720668569</v>
      </c>
    </row>
    <row r="151" spans="1:10" x14ac:dyDescent="0.25">
      <c r="A151" t="s">
        <v>15</v>
      </c>
      <c r="B151">
        <f>$B$2</f>
        <v>7.97</v>
      </c>
      <c r="C151" s="1">
        <f>J150</f>
        <v>31160735.720668569</v>
      </c>
      <c r="D151">
        <f>$D$2</f>
        <v>0.5</v>
      </c>
      <c r="E151" s="1">
        <f>$E$2</f>
        <v>9.9459999999999997</v>
      </c>
      <c r="F151">
        <f>D151/E151+F150</f>
        <v>4.4658797098239242</v>
      </c>
      <c r="G151">
        <f>0.5*(LN(C151/B151)-0.5)</f>
        <v>7.3394924484736057</v>
      </c>
      <c r="H151">
        <f t="shared" si="38"/>
        <v>1.9359658805782414E-3</v>
      </c>
      <c r="I151">
        <f t="shared" si="39"/>
        <v>67758.805820238442</v>
      </c>
      <c r="J151">
        <f>C151-I151</f>
        <v>31092976.914848331</v>
      </c>
    </row>
    <row r="152" spans="1:10" x14ac:dyDescent="0.25">
      <c r="A152" s="3" t="s">
        <v>19</v>
      </c>
      <c r="B152" s="3">
        <f>$B$12</f>
        <v>94.11</v>
      </c>
      <c r="C152" s="1">
        <f>J151</f>
        <v>31092976.914848331</v>
      </c>
      <c r="D152" s="3">
        <f>$D$12</f>
        <v>0.5</v>
      </c>
      <c r="E152" s="3">
        <f>$E$12</f>
        <v>78.8</v>
      </c>
      <c r="F152">
        <f>D152/E152+F151</f>
        <v>4.472224887488899</v>
      </c>
      <c r="G152">
        <f>0.5*(LN(C152/B152)-0.5)</f>
        <v>6.1040141090516498</v>
      </c>
      <c r="H152">
        <f t="shared" si="38"/>
        <v>8.2958838876958183E-3</v>
      </c>
      <c r="I152">
        <f t="shared" si="39"/>
        <v>290355.93606935366</v>
      </c>
      <c r="J152">
        <f>C152-I152</f>
        <v>30802620.978778977</v>
      </c>
    </row>
    <row r="153" spans="1:10" x14ac:dyDescent="0.25">
      <c r="A153" s="3" t="s">
        <v>19</v>
      </c>
      <c r="B153" s="3">
        <f t="shared" ref="B153:B161" si="61">$B$12</f>
        <v>94.11</v>
      </c>
      <c r="C153" s="1">
        <f t="shared" ref="C153:C161" si="62">J152</f>
        <v>30802620.978778977</v>
      </c>
      <c r="D153" s="3">
        <f t="shared" ref="D153:D161" si="63">$D$12</f>
        <v>0.5</v>
      </c>
      <c r="E153" s="3">
        <f t="shared" ref="E153:E161" si="64">$E$12</f>
        <v>78.8</v>
      </c>
      <c r="F153">
        <f t="shared" ref="F153:F161" si="65">D153/E153+F152</f>
        <v>4.4785700651538738</v>
      </c>
      <c r="G153">
        <f t="shared" ref="G153:G161" si="66">0.5*(LN(C153/B153)-0.5)</f>
        <v>6.0993230150830948</v>
      </c>
      <c r="H153">
        <f t="shared" si="38"/>
        <v>8.3839353807396606E-3</v>
      </c>
      <c r="I153">
        <f t="shared" si="39"/>
        <v>293437.73832588812</v>
      </c>
      <c r="J153">
        <f t="shared" ref="J153:J161" si="67">C153-I153</f>
        <v>30509183.240453091</v>
      </c>
    </row>
    <row r="154" spans="1:10" x14ac:dyDescent="0.25">
      <c r="A154" s="3" t="s">
        <v>19</v>
      </c>
      <c r="B154" s="3">
        <f t="shared" si="61"/>
        <v>94.11</v>
      </c>
      <c r="C154" s="1">
        <f t="shared" si="62"/>
        <v>30509183.240453091</v>
      </c>
      <c r="D154" s="3">
        <f t="shared" si="63"/>
        <v>0.5</v>
      </c>
      <c r="E154" s="3">
        <f t="shared" si="64"/>
        <v>78.8</v>
      </c>
      <c r="F154">
        <f t="shared" si="65"/>
        <v>4.4849152428188486</v>
      </c>
      <c r="G154">
        <f t="shared" si="66"/>
        <v>6.0945369876197057</v>
      </c>
      <c r="H154">
        <f t="shared" si="38"/>
        <v>8.4735453184887448E-3</v>
      </c>
      <c r="I154">
        <f t="shared" si="39"/>
        <v>296574.08614710608</v>
      </c>
      <c r="J154">
        <f t="shared" si="67"/>
        <v>30212609.154305983</v>
      </c>
    </row>
    <row r="155" spans="1:10" x14ac:dyDescent="0.25">
      <c r="A155" s="3" t="s">
        <v>19</v>
      </c>
      <c r="B155" s="3">
        <f t="shared" si="61"/>
        <v>94.11</v>
      </c>
      <c r="C155" s="1">
        <f t="shared" si="62"/>
        <v>30212609.154305983</v>
      </c>
      <c r="D155" s="3">
        <f t="shared" si="63"/>
        <v>0.5</v>
      </c>
      <c r="E155" s="3">
        <f t="shared" si="64"/>
        <v>78.8</v>
      </c>
      <c r="F155">
        <f t="shared" si="65"/>
        <v>4.4912604204838233</v>
      </c>
      <c r="G155">
        <f t="shared" si="66"/>
        <v>6.0896528030011225</v>
      </c>
      <c r="H155">
        <f t="shared" ref="H155:H218" si="68">(POWER(F155,G155)*EXP(-F155/2))/(POWER(2,G155+1)*_xlfn.GAMMA(G155+1))</f>
        <v>8.5647686753431984E-3</v>
      </c>
      <c r="I155">
        <f t="shared" ref="I155:I218" si="69">$C$2*H155</f>
        <v>299766.90363701194</v>
      </c>
      <c r="J155">
        <f t="shared" si="67"/>
        <v>29912842.250668973</v>
      </c>
    </row>
    <row r="156" spans="1:10" x14ac:dyDescent="0.25">
      <c r="A156" s="3" t="s">
        <v>19</v>
      </c>
      <c r="B156" s="3">
        <f t="shared" si="61"/>
        <v>94.11</v>
      </c>
      <c r="C156" s="1">
        <f t="shared" si="62"/>
        <v>29912842.250668973</v>
      </c>
      <c r="D156" s="3">
        <f t="shared" si="63"/>
        <v>0.5</v>
      </c>
      <c r="E156" s="3">
        <f t="shared" si="64"/>
        <v>78.8</v>
      </c>
      <c r="F156">
        <f t="shared" si="65"/>
        <v>4.4976055981487981</v>
      </c>
      <c r="G156">
        <f t="shared" si="66"/>
        <v>6.0846670709949748</v>
      </c>
      <c r="H156">
        <f t="shared" si="68"/>
        <v>8.6576634641678234E-3</v>
      </c>
      <c r="I156">
        <f t="shared" si="69"/>
        <v>303018.22124587384</v>
      </c>
      <c r="J156">
        <f t="shared" si="67"/>
        <v>29609824.029423099</v>
      </c>
    </row>
    <row r="157" spans="1:10" x14ac:dyDescent="0.25">
      <c r="A157" s="3" t="s">
        <v>19</v>
      </c>
      <c r="B157" s="3">
        <f t="shared" si="61"/>
        <v>94.11</v>
      </c>
      <c r="C157" s="1">
        <f t="shared" si="62"/>
        <v>29609824.029423099</v>
      </c>
      <c r="D157" s="3">
        <f t="shared" si="63"/>
        <v>0.5</v>
      </c>
      <c r="E157" s="3">
        <f t="shared" si="64"/>
        <v>78.8</v>
      </c>
      <c r="F157">
        <f t="shared" si="65"/>
        <v>4.5039507758137729</v>
      </c>
      <c r="G157">
        <f t="shared" si="66"/>
        <v>6.0795762231226238</v>
      </c>
      <c r="H157">
        <f t="shared" si="68"/>
        <v>8.7522909615829775E-3</v>
      </c>
      <c r="I157">
        <f t="shared" si="69"/>
        <v>306330.18365540419</v>
      </c>
      <c r="J157">
        <f t="shared" si="67"/>
        <v>29303493.845767695</v>
      </c>
    </row>
    <row r="158" spans="1:10" x14ac:dyDescent="0.25">
      <c r="A158" s="3" t="s">
        <v>19</v>
      </c>
      <c r="B158" s="3">
        <f t="shared" si="61"/>
        <v>94.11</v>
      </c>
      <c r="C158" s="1">
        <f t="shared" si="62"/>
        <v>29303493.845767695</v>
      </c>
      <c r="D158" s="3">
        <f t="shared" si="63"/>
        <v>0.5</v>
      </c>
      <c r="E158" s="3">
        <f t="shared" si="64"/>
        <v>78.8</v>
      </c>
      <c r="F158">
        <f t="shared" si="65"/>
        <v>4.5102959534787477</v>
      </c>
      <c r="G158">
        <f t="shared" si="66"/>
        <v>6.0743764999452345</v>
      </c>
      <c r="H158">
        <f t="shared" si="68"/>
        <v>8.8487159542838326E-3</v>
      </c>
      <c r="I158">
        <f t="shared" si="69"/>
        <v>309705.05839993415</v>
      </c>
      <c r="J158">
        <f t="shared" si="67"/>
        <v>28993788.787367761</v>
      </c>
    </row>
    <row r="159" spans="1:10" x14ac:dyDescent="0.25">
      <c r="A159" s="3" t="s">
        <v>19</v>
      </c>
      <c r="B159" s="3">
        <f t="shared" si="61"/>
        <v>94.11</v>
      </c>
      <c r="C159" s="1">
        <f t="shared" si="62"/>
        <v>28993788.787367761</v>
      </c>
      <c r="D159" s="3">
        <f t="shared" si="63"/>
        <v>0.5</v>
      </c>
      <c r="E159" s="3">
        <f t="shared" si="64"/>
        <v>78.8</v>
      </c>
      <c r="F159">
        <f t="shared" si="65"/>
        <v>4.5166411311437225</v>
      </c>
      <c r="G159">
        <f t="shared" si="66"/>
        <v>6.0690639371971775</v>
      </c>
      <c r="H159">
        <f t="shared" si="68"/>
        <v>8.9470070087668708E-3</v>
      </c>
      <c r="I159">
        <f t="shared" si="69"/>
        <v>313145.24530684046</v>
      </c>
      <c r="J159">
        <f t="shared" si="67"/>
        <v>28680643.542060919</v>
      </c>
    </row>
    <row r="160" spans="1:10" x14ac:dyDescent="0.25">
      <c r="A160" s="3" t="s">
        <v>19</v>
      </c>
      <c r="B160" s="3">
        <f t="shared" si="61"/>
        <v>94.11</v>
      </c>
      <c r="C160" s="1">
        <f t="shared" si="62"/>
        <v>28680643.542060919</v>
      </c>
      <c r="D160" s="3">
        <f t="shared" si="63"/>
        <v>0.5</v>
      </c>
      <c r="E160" s="3">
        <f t="shared" si="64"/>
        <v>78.8</v>
      </c>
      <c r="F160">
        <f t="shared" si="65"/>
        <v>4.5229863088086972</v>
      </c>
      <c r="G160">
        <f t="shared" si="66"/>
        <v>6.0636343506391528</v>
      </c>
      <c r="H160">
        <f t="shared" si="68"/>
        <v>9.0472367671612965E-3</v>
      </c>
      <c r="I160">
        <f t="shared" si="69"/>
        <v>316653.28685064538</v>
      </c>
      <c r="J160">
        <f t="shared" si="67"/>
        <v>28363990.255210273</v>
      </c>
    </row>
    <row r="161" spans="1:10" x14ac:dyDescent="0.25">
      <c r="A161" s="3" t="s">
        <v>19</v>
      </c>
      <c r="B161" s="3">
        <f t="shared" si="61"/>
        <v>94.11</v>
      </c>
      <c r="C161" s="1">
        <f t="shared" si="62"/>
        <v>28363990.255210273</v>
      </c>
      <c r="D161" s="3">
        <f t="shared" si="63"/>
        <v>0.5</v>
      </c>
      <c r="E161" s="3">
        <f t="shared" si="64"/>
        <v>78.8</v>
      </c>
      <c r="F161">
        <f t="shared" si="65"/>
        <v>4.529331486473672</v>
      </c>
      <c r="G161">
        <f t="shared" si="66"/>
        <v>6.0580833194866841</v>
      </c>
      <c r="H161">
        <f t="shared" si="68"/>
        <v>9.1494822722297618E-3</v>
      </c>
      <c r="I161">
        <f t="shared" si="69"/>
        <v>320231.87952804164</v>
      </c>
      <c r="J161">
        <f t="shared" si="67"/>
        <v>28043758.375682231</v>
      </c>
    </row>
    <row r="162" spans="1:10" x14ac:dyDescent="0.25">
      <c r="A162" t="s">
        <v>15</v>
      </c>
      <c r="B162">
        <f>$B$2</f>
        <v>7.97</v>
      </c>
      <c r="C162" s="1">
        <f>J161</f>
        <v>28043758.375682231</v>
      </c>
      <c r="D162">
        <f>$D$2</f>
        <v>0.5</v>
      </c>
      <c r="E162" s="1">
        <f>$E$2</f>
        <v>9.9459999999999997</v>
      </c>
      <c r="F162">
        <f>D162/E162+F161</f>
        <v>4.5796029523896182</v>
      </c>
      <c r="G162">
        <f>0.5*(LN(C162/B162)-0.5)</f>
        <v>7.2867960772845537</v>
      </c>
      <c r="H162">
        <f t="shared" si="68"/>
        <v>2.3467150394434477E-3</v>
      </c>
      <c r="I162">
        <f t="shared" si="69"/>
        <v>82135.026380520663</v>
      </c>
      <c r="J162">
        <f>C162-I162</f>
        <v>27961623.349301711</v>
      </c>
    </row>
    <row r="163" spans="1:10" x14ac:dyDescent="0.25">
      <c r="A163" t="s">
        <v>15</v>
      </c>
      <c r="B163">
        <f>$B$2</f>
        <v>7.97</v>
      </c>
      <c r="C163" s="1">
        <f>J162</f>
        <v>27961623.349301711</v>
      </c>
      <c r="D163">
        <f>$D$2</f>
        <v>0.5</v>
      </c>
      <c r="E163" s="1">
        <f>$E$2</f>
        <v>9.9459999999999997</v>
      </c>
      <c r="F163">
        <f>D163/E163+F162</f>
        <v>4.6298744183055645</v>
      </c>
      <c r="G163">
        <f>0.5*(LN(C163/B163)-0.5)</f>
        <v>7.2853295202727848</v>
      </c>
      <c r="H163">
        <f t="shared" si="68"/>
        <v>2.4823701293584704E-3</v>
      </c>
      <c r="I163">
        <f t="shared" si="69"/>
        <v>86882.954527546462</v>
      </c>
      <c r="J163">
        <f>C163-I163</f>
        <v>27874740.394774165</v>
      </c>
    </row>
    <row r="164" spans="1:10" x14ac:dyDescent="0.25">
      <c r="A164" t="s">
        <v>15</v>
      </c>
      <c r="B164">
        <f>$B$2</f>
        <v>7.97</v>
      </c>
      <c r="C164" s="1">
        <f>J163</f>
        <v>27874740.394774165</v>
      </c>
      <c r="D164">
        <f>$D$2</f>
        <v>0.5</v>
      </c>
      <c r="E164" s="1">
        <f>$E$2</f>
        <v>9.9459999999999997</v>
      </c>
      <c r="F164">
        <f>D164/E164+F163</f>
        <v>4.6801458842215107</v>
      </c>
      <c r="G164">
        <f>0.5*(LN(C164/B164)-0.5)</f>
        <v>7.2837734908535534</v>
      </c>
      <c r="H164">
        <f t="shared" si="68"/>
        <v>2.6238103796809441E-3</v>
      </c>
      <c r="I164">
        <f t="shared" si="69"/>
        <v>91833.363288833047</v>
      </c>
      <c r="J164">
        <f>C164-I164</f>
        <v>27782907.03148533</v>
      </c>
    </row>
    <row r="165" spans="1:10" x14ac:dyDescent="0.25">
      <c r="A165" t="s">
        <v>15</v>
      </c>
      <c r="B165">
        <f>$B$2</f>
        <v>7.97</v>
      </c>
      <c r="C165" s="1">
        <f>J164</f>
        <v>27782907.03148533</v>
      </c>
      <c r="D165">
        <f>$D$2</f>
        <v>0.5</v>
      </c>
      <c r="E165" s="1">
        <f>$E$2</f>
        <v>9.9459999999999997</v>
      </c>
      <c r="F165">
        <f>D165/E165+F164</f>
        <v>4.7304173501374569</v>
      </c>
      <c r="G165">
        <f>0.5*(LN(C165/B165)-0.5)</f>
        <v>7.2821235208876791</v>
      </c>
      <c r="H165">
        <f t="shared" si="68"/>
        <v>2.7711964954371376E-3</v>
      </c>
      <c r="I165">
        <f t="shared" si="69"/>
        <v>96991.877340299819</v>
      </c>
      <c r="J165">
        <f>C165-I165</f>
        <v>27685915.154145032</v>
      </c>
    </row>
    <row r="166" spans="1:10" x14ac:dyDescent="0.25">
      <c r="A166" t="s">
        <v>15</v>
      </c>
      <c r="B166">
        <f>$B$2</f>
        <v>7.97</v>
      </c>
      <c r="C166" s="1">
        <f>J165</f>
        <v>27685915.154145032</v>
      </c>
      <c r="D166">
        <f>$D$2</f>
        <v>0.5</v>
      </c>
      <c r="E166" s="1">
        <f>$E$2</f>
        <v>9.9459999999999997</v>
      </c>
      <c r="F166">
        <f>D166/E166+F165</f>
        <v>4.7806888160534031</v>
      </c>
      <c r="G166">
        <f>0.5*(LN(C166/B166)-0.5)</f>
        <v>7.2803749354234295</v>
      </c>
      <c r="H166">
        <f t="shared" si="68"/>
        <v>2.9246923428821845E-3</v>
      </c>
      <c r="I166">
        <f t="shared" si="69"/>
        <v>102364.23200087645</v>
      </c>
      <c r="J166">
        <f>C166-I166</f>
        <v>27583550.922144156</v>
      </c>
    </row>
    <row r="167" spans="1:10" x14ac:dyDescent="0.25">
      <c r="A167" t="s">
        <v>15</v>
      </c>
      <c r="B167">
        <f>$B$2</f>
        <v>7.97</v>
      </c>
      <c r="C167" s="1">
        <f>J166</f>
        <v>27583550.922144156</v>
      </c>
      <c r="D167">
        <f>$D$2</f>
        <v>0.5</v>
      </c>
      <c r="E167" s="1">
        <f>$E$2</f>
        <v>9.9459999999999997</v>
      </c>
      <c r="F167">
        <f>D167/E167+F166</f>
        <v>4.8309602819693493</v>
      </c>
      <c r="G167">
        <f>0.5*(LN(C167/B167)-0.5)</f>
        <v>7.278522839568101</v>
      </c>
      <c r="H167">
        <f t="shared" si="68"/>
        <v>3.0844651944921401E-3</v>
      </c>
      <c r="I167">
        <f t="shared" si="69"/>
        <v>107956.28180722491</v>
      </c>
      <c r="J167">
        <f>C167-I167</f>
        <v>27475594.640336931</v>
      </c>
    </row>
    <row r="168" spans="1:10" x14ac:dyDescent="0.25">
      <c r="A168" t="s">
        <v>15</v>
      </c>
      <c r="B168">
        <f>$B$2</f>
        <v>7.97</v>
      </c>
      <c r="C168" s="1">
        <f>J167</f>
        <v>27475594.640336931</v>
      </c>
      <c r="D168">
        <f>$D$2</f>
        <v>0.5</v>
      </c>
      <c r="E168" s="1">
        <f>$E$2</f>
        <v>9.9459999999999997</v>
      </c>
      <c r="F168">
        <f>D168/E168+F167</f>
        <v>4.8812317478852956</v>
      </c>
      <c r="G168">
        <f>0.5*(LN(C168/B168)-0.5)</f>
        <v>7.276562104089014</v>
      </c>
      <c r="H168">
        <f t="shared" si="68"/>
        <v>3.2506860037228419E-3</v>
      </c>
      <c r="I168">
        <f t="shared" si="69"/>
        <v>113774.01013029947</v>
      </c>
      <c r="J168">
        <f>C168-I168</f>
        <v>27361820.63020663</v>
      </c>
    </row>
    <row r="169" spans="1:10" x14ac:dyDescent="0.25">
      <c r="A169" t="s">
        <v>15</v>
      </c>
      <c r="B169">
        <f>$B$2</f>
        <v>7.97</v>
      </c>
      <c r="C169" s="1">
        <f>J168</f>
        <v>27361820.63020663</v>
      </c>
      <c r="D169">
        <f>$D$2</f>
        <v>0.5</v>
      </c>
      <c r="E169" s="1">
        <f>$E$2</f>
        <v>9.9459999999999997</v>
      </c>
      <c r="F169">
        <f>D169/E169+F168</f>
        <v>4.9315032138012418</v>
      </c>
      <c r="G169">
        <f>0.5*(LN(C169/B169)-0.5)</f>
        <v>7.2744873496021416</v>
      </c>
      <c r="H169">
        <f t="shared" si="68"/>
        <v>3.4235297125769035E-3</v>
      </c>
      <c r="I169">
        <f t="shared" si="69"/>
        <v>119823.53994019162</v>
      </c>
      <c r="J169">
        <f>C169-I169</f>
        <v>27241997.090266436</v>
      </c>
    </row>
    <row r="170" spans="1:10" x14ac:dyDescent="0.25">
      <c r="A170" t="s">
        <v>15</v>
      </c>
      <c r="B170">
        <f>$B$2</f>
        <v>7.97</v>
      </c>
      <c r="C170" s="1">
        <f>J169</f>
        <v>27241997.090266436</v>
      </c>
      <c r="D170">
        <f>$D$2</f>
        <v>0.5</v>
      </c>
      <c r="E170" s="1">
        <f>$E$2</f>
        <v>9.9459999999999997</v>
      </c>
      <c r="F170">
        <f>D170/E170+F169</f>
        <v>4.981774679717188</v>
      </c>
      <c r="G170">
        <f>0.5*(LN(C170/B170)-0.5)</f>
        <v>7.272292929188362</v>
      </c>
      <c r="H170">
        <f t="shared" si="68"/>
        <v>3.6031755954259049E-3</v>
      </c>
      <c r="I170">
        <f t="shared" si="69"/>
        <v>126111.14583990668</v>
      </c>
      <c r="J170">
        <f>C170-I170</f>
        <v>27115885.944426529</v>
      </c>
    </row>
    <row r="171" spans="1:10" x14ac:dyDescent="0.25">
      <c r="A171" t="s">
        <v>15</v>
      </c>
      <c r="B171">
        <f>$B$2</f>
        <v>7.97</v>
      </c>
      <c r="C171" s="1">
        <f>J170</f>
        <v>27115885.944426529</v>
      </c>
      <c r="D171">
        <f>$D$2</f>
        <v>0.5</v>
      </c>
      <c r="E171" s="1">
        <f>$E$2</f>
        <v>9.9459999999999997</v>
      </c>
      <c r="F171">
        <f>D171/E171+F170</f>
        <v>5.0320461456331342</v>
      </c>
      <c r="G171">
        <f>0.5*(LN(C171/B171)-0.5)</f>
        <v>7.2699729092563228</v>
      </c>
      <c r="H171">
        <f t="shared" si="68"/>
        <v>3.7898076430045646E-3</v>
      </c>
      <c r="I171">
        <f t="shared" si="69"/>
        <v>132643.26750515975</v>
      </c>
      <c r="J171">
        <f>C171-I171</f>
        <v>26983242.676921368</v>
      </c>
    </row>
    <row r="172" spans="1:10" x14ac:dyDescent="0.25">
      <c r="A172" s="3" t="s">
        <v>19</v>
      </c>
      <c r="B172" s="3">
        <f>$B$12</f>
        <v>94.11</v>
      </c>
      <c r="C172" s="1">
        <f>J171</f>
        <v>26983242.676921368</v>
      </c>
      <c r="D172" s="3">
        <f>$D$12</f>
        <v>0.5</v>
      </c>
      <c r="E172" s="3">
        <f>$E$12</f>
        <v>78.8</v>
      </c>
      <c r="F172">
        <f>D172/E172+F171</f>
        <v>5.038391323298109</v>
      </c>
      <c r="G172">
        <f>0.5*(LN(C172/B172)-0.5)</f>
        <v>6.0331311394123404</v>
      </c>
      <c r="H172">
        <f t="shared" si="68"/>
        <v>1.3849910950999638E-2</v>
      </c>
      <c r="I172">
        <f t="shared" si="69"/>
        <v>484746.88328498736</v>
      </c>
      <c r="J172">
        <f>C172-I172</f>
        <v>26498495.793636382</v>
      </c>
    </row>
    <row r="173" spans="1:10" x14ac:dyDescent="0.25">
      <c r="A173" s="3" t="s">
        <v>19</v>
      </c>
      <c r="B173" s="3">
        <f t="shared" ref="B173:B181" si="70">$B$12</f>
        <v>94.11</v>
      </c>
      <c r="C173" s="1">
        <f t="shared" ref="C173:C181" si="71">J172</f>
        <v>26498495.793636382</v>
      </c>
      <c r="D173" s="3">
        <f t="shared" ref="D173:D181" si="72">$D$12</f>
        <v>0.5</v>
      </c>
      <c r="E173" s="3">
        <f t="shared" ref="E173:E181" si="73">$E$12</f>
        <v>78.8</v>
      </c>
      <c r="F173">
        <f t="shared" ref="F173:F181" si="74">D173/E173+F172</f>
        <v>5.0447365009630838</v>
      </c>
      <c r="G173">
        <f t="shared" ref="G173:G181" si="75">0.5*(LN(C173/B173)-0.5)</f>
        <v>6.0240671079852071</v>
      </c>
      <c r="H173">
        <f t="shared" si="68"/>
        <v>1.4031825755099049E-2</v>
      </c>
      <c r="I173">
        <f t="shared" si="69"/>
        <v>491113.90142846672</v>
      </c>
      <c r="J173">
        <f t="shared" ref="J173:J181" si="76">C173-I173</f>
        <v>26007381.892207913</v>
      </c>
    </row>
    <row r="174" spans="1:10" x14ac:dyDescent="0.25">
      <c r="A174" s="3" t="s">
        <v>19</v>
      </c>
      <c r="B174" s="3">
        <f t="shared" si="70"/>
        <v>94.11</v>
      </c>
      <c r="C174" s="1">
        <f t="shared" si="71"/>
        <v>26007381.892207913</v>
      </c>
      <c r="D174" s="3">
        <f t="shared" si="72"/>
        <v>0.5</v>
      </c>
      <c r="E174" s="3">
        <f t="shared" si="73"/>
        <v>78.8</v>
      </c>
      <c r="F174">
        <f t="shared" si="74"/>
        <v>5.0510816786280586</v>
      </c>
      <c r="G174">
        <f t="shared" si="75"/>
        <v>6.0147133318743906</v>
      </c>
      <c r="H174">
        <f t="shared" si="68"/>
        <v>1.4219399397516064E-2</v>
      </c>
      <c r="I174">
        <f t="shared" si="69"/>
        <v>497678.97891306225</v>
      </c>
      <c r="J174">
        <f t="shared" si="76"/>
        <v>25509702.913294852</v>
      </c>
    </row>
    <row r="175" spans="1:10" x14ac:dyDescent="0.25">
      <c r="A175" s="3" t="s">
        <v>19</v>
      </c>
      <c r="B175" s="3">
        <f t="shared" si="70"/>
        <v>94.11</v>
      </c>
      <c r="C175" s="1">
        <f t="shared" si="71"/>
        <v>25509702.913294852</v>
      </c>
      <c r="D175" s="3">
        <f t="shared" si="72"/>
        <v>0.5</v>
      </c>
      <c r="E175" s="3">
        <f t="shared" si="73"/>
        <v>78.8</v>
      </c>
      <c r="F175">
        <f t="shared" si="74"/>
        <v>5.0574268562930333</v>
      </c>
      <c r="G175">
        <f t="shared" si="75"/>
        <v>6.0050525666437373</v>
      </c>
      <c r="H175">
        <f t="shared" si="68"/>
        <v>1.4412996480697413E-2</v>
      </c>
      <c r="I175">
        <f t="shared" si="69"/>
        <v>504454.87682440947</v>
      </c>
      <c r="J175">
        <f t="shared" si="76"/>
        <v>25005248.036470443</v>
      </c>
    </row>
    <row r="176" spans="1:10" x14ac:dyDescent="0.25">
      <c r="A176" s="3" t="s">
        <v>19</v>
      </c>
      <c r="B176" s="3">
        <f t="shared" si="70"/>
        <v>94.11</v>
      </c>
      <c r="C176" s="1">
        <f t="shared" si="71"/>
        <v>25005248.036470443</v>
      </c>
      <c r="D176" s="3">
        <f t="shared" si="72"/>
        <v>0.5</v>
      </c>
      <c r="E176" s="3">
        <f t="shared" si="73"/>
        <v>78.8</v>
      </c>
      <c r="F176">
        <f t="shared" si="74"/>
        <v>5.0637720339580081</v>
      </c>
      <c r="G176">
        <f t="shared" si="75"/>
        <v>5.995065985695085</v>
      </c>
      <c r="H176">
        <f t="shared" si="68"/>
        <v>1.4613017459343984E-2</v>
      </c>
      <c r="I176">
        <f t="shared" si="69"/>
        <v>511455.61107703944</v>
      </c>
      <c r="J176">
        <f t="shared" si="76"/>
        <v>24493792.425393403</v>
      </c>
    </row>
    <row r="177" spans="1:10" x14ac:dyDescent="0.25">
      <c r="A177" s="3" t="s">
        <v>19</v>
      </c>
      <c r="B177" s="3">
        <f t="shared" si="70"/>
        <v>94.11</v>
      </c>
      <c r="C177" s="1">
        <f t="shared" si="71"/>
        <v>24493792.425393403</v>
      </c>
      <c r="D177" s="3">
        <f t="shared" si="72"/>
        <v>0.5</v>
      </c>
      <c r="E177" s="3">
        <f t="shared" si="73"/>
        <v>78.8</v>
      </c>
      <c r="F177">
        <f t="shared" si="74"/>
        <v>5.0701172116229829</v>
      </c>
      <c r="G177">
        <f t="shared" si="75"/>
        <v>5.9847329810742265</v>
      </c>
      <c r="H177">
        <f t="shared" si="68"/>
        <v>1.4819903406154335E-2</v>
      </c>
      <c r="I177">
        <f t="shared" si="69"/>
        <v>518696.6192154017</v>
      </c>
      <c r="J177">
        <f t="shared" si="76"/>
        <v>23975095.806178</v>
      </c>
    </row>
    <row r="178" spans="1:10" x14ac:dyDescent="0.25">
      <c r="A178" s="3" t="s">
        <v>19</v>
      </c>
      <c r="B178" s="3">
        <f t="shared" si="70"/>
        <v>94.11</v>
      </c>
      <c r="C178" s="1">
        <f t="shared" si="71"/>
        <v>23975095.806178</v>
      </c>
      <c r="D178" s="3">
        <f t="shared" si="72"/>
        <v>0.5</v>
      </c>
      <c r="E178" s="3">
        <f t="shared" si="73"/>
        <v>78.8</v>
      </c>
      <c r="F178">
        <f t="shared" si="74"/>
        <v>5.0764623892879577</v>
      </c>
      <c r="G178">
        <f t="shared" si="75"/>
        <v>5.9740309319708844</v>
      </c>
      <c r="H178">
        <f t="shared" si="68"/>
        <v>1.5034141585565477E-2</v>
      </c>
      <c r="I178">
        <f t="shared" si="69"/>
        <v>526194.95549479173</v>
      </c>
      <c r="J178">
        <f t="shared" si="76"/>
        <v>23448900.850683209</v>
      </c>
    </row>
    <row r="179" spans="1:10" x14ac:dyDescent="0.25">
      <c r="A179" s="3" t="s">
        <v>19</v>
      </c>
      <c r="B179" s="3">
        <f t="shared" si="70"/>
        <v>94.11</v>
      </c>
      <c r="C179" s="1">
        <f t="shared" si="71"/>
        <v>23448900.850683209</v>
      </c>
      <c r="D179" s="3">
        <f t="shared" si="72"/>
        <v>0.5</v>
      </c>
      <c r="E179" s="3">
        <f t="shared" si="73"/>
        <v>78.8</v>
      </c>
      <c r="F179">
        <f t="shared" si="74"/>
        <v>5.0828075669529325</v>
      </c>
      <c r="G179">
        <f t="shared" si="75"/>
        <v>5.9629349344241209</v>
      </c>
      <c r="H179">
        <f t="shared" si="68"/>
        <v>1.525627200397623E-2</v>
      </c>
      <c r="I179">
        <f t="shared" si="69"/>
        <v>533969.52013916802</v>
      </c>
      <c r="J179">
        <f t="shared" si="76"/>
        <v>22914931.33054404</v>
      </c>
    </row>
    <row r="180" spans="1:10" x14ac:dyDescent="0.25">
      <c r="A180" s="3" t="s">
        <v>19</v>
      </c>
      <c r="B180" s="3">
        <f t="shared" si="70"/>
        <v>94.11</v>
      </c>
      <c r="C180" s="1">
        <f t="shared" si="71"/>
        <v>22914931.33054404</v>
      </c>
      <c r="D180" s="3">
        <f t="shared" si="72"/>
        <v>0.5</v>
      </c>
      <c r="E180" s="3">
        <f t="shared" si="73"/>
        <v>78.8</v>
      </c>
      <c r="F180">
        <f t="shared" si="74"/>
        <v>5.0891527446179072</v>
      </c>
      <c r="G180">
        <f t="shared" si="75"/>
        <v>5.9514174841734411</v>
      </c>
      <c r="H180">
        <f t="shared" si="68"/>
        <v>1.5486895147083058E-2</v>
      </c>
      <c r="I180">
        <f t="shared" si="69"/>
        <v>542041.33014790702</v>
      </c>
      <c r="J180">
        <f t="shared" si="76"/>
        <v>22372890.000396132</v>
      </c>
    </row>
    <row r="181" spans="1:10" x14ac:dyDescent="0.25">
      <c r="A181" s="3" t="s">
        <v>19</v>
      </c>
      <c r="B181" s="3">
        <f t="shared" si="70"/>
        <v>94.11</v>
      </c>
      <c r="C181" s="1">
        <f t="shared" si="71"/>
        <v>22372890.000396132</v>
      </c>
      <c r="D181" s="3">
        <f t="shared" si="72"/>
        <v>0.5</v>
      </c>
      <c r="E181" s="3">
        <f t="shared" si="73"/>
        <v>78.8</v>
      </c>
      <c r="F181">
        <f t="shared" si="74"/>
        <v>5.095497922282882</v>
      </c>
      <c r="G181">
        <f t="shared" si="75"/>
        <v>5.9394481025747714</v>
      </c>
      <c r="H181">
        <f t="shared" si="68"/>
        <v>1.5726681169524279E-2</v>
      </c>
      <c r="I181">
        <f t="shared" si="69"/>
        <v>550433.8409333498</v>
      </c>
      <c r="J181">
        <f t="shared" si="76"/>
        <v>21822456.159462783</v>
      </c>
    </row>
    <row r="182" spans="1:10" x14ac:dyDescent="0.25">
      <c r="A182" t="s">
        <v>15</v>
      </c>
      <c r="B182">
        <f>$B$2</f>
        <v>7.97</v>
      </c>
      <c r="C182" s="1">
        <f>J181</f>
        <v>21822456.159462783</v>
      </c>
      <c r="D182">
        <f>$D$2</f>
        <v>0.5</v>
      </c>
      <c r="E182" s="1">
        <f>$E$2</f>
        <v>9.9459999999999997</v>
      </c>
      <c r="F182">
        <f>D182/E182+F181</f>
        <v>5.1457693881988282</v>
      </c>
      <c r="G182">
        <f>0.5*(LN(C182/B182)-0.5)</f>
        <v>7.1613828019135752</v>
      </c>
      <c r="H182">
        <f t="shared" si="68"/>
        <v>4.7457807247452159E-3</v>
      </c>
      <c r="I182">
        <f t="shared" si="69"/>
        <v>166102.32536608254</v>
      </c>
      <c r="J182">
        <f>C182-I182</f>
        <v>21656353.8340967</v>
      </c>
    </row>
    <row r="183" spans="1:10" x14ac:dyDescent="0.25">
      <c r="A183" t="s">
        <v>15</v>
      </c>
      <c r="B183">
        <f>$B$2</f>
        <v>7.97</v>
      </c>
      <c r="C183" s="1">
        <f>J182</f>
        <v>21656353.8340967</v>
      </c>
      <c r="D183">
        <f>$D$2</f>
        <v>0.5</v>
      </c>
      <c r="E183" s="1">
        <f>$E$2</f>
        <v>9.9459999999999997</v>
      </c>
      <c r="F183">
        <f>D183/E183+F182</f>
        <v>5.1960408541147745</v>
      </c>
      <c r="G183">
        <f>0.5*(LN(C183/B183)-0.5)</f>
        <v>7.1575624780944382</v>
      </c>
      <c r="H183">
        <f t="shared" si="68"/>
        <v>4.982226331961769E-3</v>
      </c>
      <c r="I183">
        <f t="shared" si="69"/>
        <v>174377.9216186619</v>
      </c>
      <c r="J183">
        <f>C183-I183</f>
        <v>21481975.912478037</v>
      </c>
    </row>
    <row r="184" spans="1:10" x14ac:dyDescent="0.25">
      <c r="A184" t="s">
        <v>15</v>
      </c>
      <c r="B184">
        <f>$B$2</f>
        <v>7.97</v>
      </c>
      <c r="C184" s="1">
        <f>J183</f>
        <v>21481975.912478037</v>
      </c>
      <c r="D184">
        <f>$D$2</f>
        <v>0.5</v>
      </c>
      <c r="E184" s="1">
        <f>$E$2</f>
        <v>9.9459999999999997</v>
      </c>
      <c r="F184">
        <f>D184/E184+F183</f>
        <v>5.2463123200307207</v>
      </c>
      <c r="G184">
        <f>0.5*(LN(C184/B184)-0.5)</f>
        <v>7.1535201595243825</v>
      </c>
      <c r="H184">
        <f t="shared" si="68"/>
        <v>5.2277959494922777E-3</v>
      </c>
      <c r="I184">
        <f t="shared" si="69"/>
        <v>182972.85823222972</v>
      </c>
      <c r="J184">
        <f>C184-I184</f>
        <v>21299003.054245807</v>
      </c>
    </row>
    <row r="185" spans="1:10" x14ac:dyDescent="0.25">
      <c r="A185" t="s">
        <v>15</v>
      </c>
      <c r="B185">
        <f>$B$2</f>
        <v>7.97</v>
      </c>
      <c r="C185" s="1">
        <f>J184</f>
        <v>21299003.054245807</v>
      </c>
      <c r="D185">
        <f>$D$2</f>
        <v>0.5</v>
      </c>
      <c r="E185" s="1">
        <f>$E$2</f>
        <v>9.9459999999999997</v>
      </c>
      <c r="F185">
        <f>D185/E185+F184</f>
        <v>5.2965837859466669</v>
      </c>
      <c r="G185">
        <f>0.5*(LN(C185/B185)-0.5)</f>
        <v>7.1492431659085787</v>
      </c>
      <c r="H185">
        <f t="shared" si="68"/>
        <v>5.4827966355537154E-3</v>
      </c>
      <c r="I185">
        <f t="shared" si="69"/>
        <v>191897.88224438005</v>
      </c>
      <c r="J185">
        <f>C185-I185</f>
        <v>21107105.172001429</v>
      </c>
    </row>
    <row r="186" spans="1:10" x14ac:dyDescent="0.25">
      <c r="A186" t="s">
        <v>15</v>
      </c>
      <c r="B186">
        <f>$B$2</f>
        <v>7.97</v>
      </c>
      <c r="C186" s="1">
        <f>J185</f>
        <v>21107105.172001429</v>
      </c>
      <c r="D186">
        <f>$D$2</f>
        <v>0.5</v>
      </c>
      <c r="E186" s="1">
        <f>$E$2</f>
        <v>9.9459999999999997</v>
      </c>
      <c r="F186">
        <f>D186/E186+F185</f>
        <v>5.3468552518626131</v>
      </c>
      <c r="G186">
        <f>0.5*(LN(C186/B186)-0.5)</f>
        <v>7.1447178934850992</v>
      </c>
      <c r="H186">
        <f t="shared" si="68"/>
        <v>5.7475532147942725E-3</v>
      </c>
      <c r="I186">
        <f t="shared" si="69"/>
        <v>201164.36251779954</v>
      </c>
      <c r="J186">
        <f>C186-I186</f>
        <v>20905940.809483629</v>
      </c>
    </row>
    <row r="187" spans="1:10" x14ac:dyDescent="0.25">
      <c r="A187" t="s">
        <v>15</v>
      </c>
      <c r="B187">
        <f>$B$2</f>
        <v>7.97</v>
      </c>
      <c r="C187" s="1">
        <f>J186</f>
        <v>20905940.809483629</v>
      </c>
      <c r="D187">
        <f>$D$2</f>
        <v>0.5</v>
      </c>
      <c r="E187" s="1">
        <f>$E$2</f>
        <v>9.9459999999999997</v>
      </c>
      <c r="F187">
        <f>D187/E187+F186</f>
        <v>5.3971267177785593</v>
      </c>
      <c r="G187">
        <f>0.5*(LN(C187/B187)-0.5)</f>
        <v>7.1399297164996698</v>
      </c>
      <c r="H187">
        <f t="shared" si="68"/>
        <v>6.0224103636209586E-3</v>
      </c>
      <c r="I187">
        <f t="shared" si="69"/>
        <v>210784.36272673355</v>
      </c>
      <c r="J187">
        <f>C187-I187</f>
        <v>20695156.446756896</v>
      </c>
    </row>
    <row r="188" spans="1:10" x14ac:dyDescent="0.25">
      <c r="A188" t="s">
        <v>15</v>
      </c>
      <c r="B188">
        <f>$B$2</f>
        <v>7.97</v>
      </c>
      <c r="C188" s="1">
        <f>J187</f>
        <v>20695156.446756896</v>
      </c>
      <c r="D188">
        <f>$D$2</f>
        <v>0.5</v>
      </c>
      <c r="E188" s="1">
        <f>$E$2</f>
        <v>9.9459999999999997</v>
      </c>
      <c r="F188">
        <f>D188/E188+F187</f>
        <v>5.4473981836945056</v>
      </c>
      <c r="G188">
        <f>0.5*(LN(C188/B188)-0.5)</f>
        <v>7.1348628749873075</v>
      </c>
      <c r="H188">
        <f t="shared" si="68"/>
        <v>6.3077349939186528E-3</v>
      </c>
      <c r="I188">
        <f t="shared" si="69"/>
        <v>220770.72478715284</v>
      </c>
      <c r="J188">
        <f>C188-I188</f>
        <v>20474385.721969742</v>
      </c>
    </row>
    <row r="189" spans="1:10" x14ac:dyDescent="0.25">
      <c r="A189" t="s">
        <v>15</v>
      </c>
      <c r="B189">
        <f>$B$2</f>
        <v>7.97</v>
      </c>
      <c r="C189" s="1">
        <f>J188</f>
        <v>20474385.721969742</v>
      </c>
      <c r="D189">
        <f>$D$2</f>
        <v>0.5</v>
      </c>
      <c r="E189" s="1">
        <f>$E$2</f>
        <v>9.9459999999999997</v>
      </c>
      <c r="F189">
        <f>D189/E189+F188</f>
        <v>5.4976696496104518</v>
      </c>
      <c r="G189">
        <f>0.5*(LN(C189/B189)-0.5)</f>
        <v>7.1295003465411169</v>
      </c>
      <c r="H189">
        <f t="shared" si="68"/>
        <v>6.6039189865463952E-3</v>
      </c>
      <c r="I189">
        <f t="shared" si="69"/>
        <v>231137.16452912384</v>
      </c>
      <c r="J189">
        <f>C189-I189</f>
        <v>20243248.55744062</v>
      </c>
    </row>
    <row r="190" spans="1:10" x14ac:dyDescent="0.25">
      <c r="A190" t="s">
        <v>15</v>
      </c>
      <c r="B190">
        <f>$B$2</f>
        <v>7.97</v>
      </c>
      <c r="C190" s="1">
        <f>J189</f>
        <v>20243248.55744062</v>
      </c>
      <c r="D190">
        <f>$D$2</f>
        <v>0.5</v>
      </c>
      <c r="E190" s="1">
        <f>$E$2</f>
        <v>9.9459999999999997</v>
      </c>
      <c r="F190">
        <f>D190/E190+F189</f>
        <v>5.547941115526398</v>
      </c>
      <c r="G190">
        <f>0.5*(LN(C190/B190)-0.5)</f>
        <v>7.1238236992761026</v>
      </c>
      <c r="H190">
        <f t="shared" si="68"/>
        <v>6.9113823366783603E-3</v>
      </c>
      <c r="I190">
        <f t="shared" si="69"/>
        <v>241898.3817837426</v>
      </c>
      <c r="J190">
        <f>C190-I190</f>
        <v>20001350.175656877</v>
      </c>
    </row>
    <row r="191" spans="1:10" x14ac:dyDescent="0.25">
      <c r="A191" t="s">
        <v>15</v>
      </c>
      <c r="B191">
        <f>$B$2</f>
        <v>7.97</v>
      </c>
      <c r="C191" s="1">
        <f>J190</f>
        <v>20001350.175656877</v>
      </c>
      <c r="D191">
        <f>$D$2</f>
        <v>0.5</v>
      </c>
      <c r="E191" s="1">
        <f>$E$2</f>
        <v>9.9459999999999997</v>
      </c>
      <c r="F191">
        <f>D191/E191+F190</f>
        <v>5.5982125814423442</v>
      </c>
      <c r="G191">
        <f>0.5*(LN(C191/B191)-0.5)</f>
        <v>7.1178129226101854</v>
      </c>
      <c r="H191">
        <f t="shared" si="68"/>
        <v>7.2305767863441719E-3</v>
      </c>
      <c r="I191">
        <f t="shared" si="69"/>
        <v>253070.18752204601</v>
      </c>
      <c r="J191">
        <f>C191-I191</f>
        <v>19748279.988134831</v>
      </c>
    </row>
    <row r="192" spans="1:10" x14ac:dyDescent="0.25">
      <c r="A192" s="3" t="s">
        <v>19</v>
      </c>
      <c r="B192" s="3">
        <f>$B$12</f>
        <v>94.11</v>
      </c>
      <c r="C192" s="1">
        <f>J191</f>
        <v>19748279.988134831</v>
      </c>
      <c r="D192" s="3">
        <f>$D$12</f>
        <v>0.5</v>
      </c>
      <c r="E192" s="3">
        <f>$E$12</f>
        <v>78.8</v>
      </c>
      <c r="F192">
        <f>D192/E192+F191</f>
        <v>5.604557759107319</v>
      </c>
      <c r="G192">
        <f>0.5*(LN(C192/B192)-0.5)</f>
        <v>5.8770563227199304</v>
      </c>
      <c r="H192">
        <f t="shared" si="68"/>
        <v>2.2602710328806012E-2</v>
      </c>
      <c r="I192">
        <f t="shared" si="69"/>
        <v>791094.86150821042</v>
      </c>
      <c r="J192">
        <f>C192-I192</f>
        <v>18957185.126626622</v>
      </c>
    </row>
    <row r="193" spans="1:10" x14ac:dyDescent="0.25">
      <c r="A193" s="3" t="s">
        <v>19</v>
      </c>
      <c r="B193" s="3">
        <f t="shared" ref="B193:B201" si="77">$B$12</f>
        <v>94.11</v>
      </c>
      <c r="C193" s="1">
        <f t="shared" ref="C193:C201" si="78">J192</f>
        <v>18957185.126626622</v>
      </c>
      <c r="D193" s="3">
        <f t="shared" ref="D193:D201" si="79">$D$12</f>
        <v>0.5</v>
      </c>
      <c r="E193" s="3">
        <f t="shared" ref="E193:E201" si="80">$E$12</f>
        <v>78.8</v>
      </c>
      <c r="F193">
        <f t="shared" ref="F193:F201" si="81">D193/E193+F192</f>
        <v>5.6109029367722938</v>
      </c>
      <c r="G193">
        <f t="shared" ref="G193:G201" si="82">0.5*(LN(C193/B193)-0.5)</f>
        <v>5.8566146345565491</v>
      </c>
      <c r="H193">
        <f t="shared" si="68"/>
        <v>2.306510371683132E-2</v>
      </c>
      <c r="I193">
        <f t="shared" si="69"/>
        <v>807278.63008909614</v>
      </c>
      <c r="J193">
        <f t="shared" ref="J193:J201" si="83">C193-I193</f>
        <v>18149906.496537525</v>
      </c>
    </row>
    <row r="194" spans="1:10" x14ac:dyDescent="0.25">
      <c r="A194" s="3" t="s">
        <v>19</v>
      </c>
      <c r="B194" s="3">
        <f t="shared" si="77"/>
        <v>94.11</v>
      </c>
      <c r="C194" s="1">
        <f t="shared" si="78"/>
        <v>18149906.496537525</v>
      </c>
      <c r="D194" s="3">
        <f t="shared" si="79"/>
        <v>0.5</v>
      </c>
      <c r="E194" s="3">
        <f t="shared" si="80"/>
        <v>78.8</v>
      </c>
      <c r="F194">
        <f t="shared" si="81"/>
        <v>5.6172481144372686</v>
      </c>
      <c r="G194">
        <f t="shared" si="82"/>
        <v>5.834855828042623</v>
      </c>
      <c r="H194">
        <f t="shared" si="68"/>
        <v>2.3559409209618687E-2</v>
      </c>
      <c r="I194">
        <f t="shared" si="69"/>
        <v>824579.32233665406</v>
      </c>
      <c r="J194">
        <f t="shared" si="83"/>
        <v>17325327.17420087</v>
      </c>
    </row>
    <row r="195" spans="1:10" x14ac:dyDescent="0.25">
      <c r="A195" s="3" t="s">
        <v>19</v>
      </c>
      <c r="B195" s="3">
        <f t="shared" si="77"/>
        <v>94.11</v>
      </c>
      <c r="C195" s="1">
        <f t="shared" si="78"/>
        <v>17325327.17420087</v>
      </c>
      <c r="D195" s="3">
        <f t="shared" si="79"/>
        <v>0.5</v>
      </c>
      <c r="E195" s="3">
        <f t="shared" si="80"/>
        <v>78.8</v>
      </c>
      <c r="F195">
        <f t="shared" si="81"/>
        <v>5.6235932921022433</v>
      </c>
      <c r="G195">
        <f t="shared" si="82"/>
        <v>5.8116078382524963</v>
      </c>
      <c r="H195">
        <f t="shared" si="68"/>
        <v>2.4090182600771531E-2</v>
      </c>
      <c r="I195">
        <f t="shared" si="69"/>
        <v>843156.39102700364</v>
      </c>
      <c r="J195">
        <f t="shared" si="83"/>
        <v>16482170.783173867</v>
      </c>
    </row>
    <row r="196" spans="1:10" x14ac:dyDescent="0.25">
      <c r="A196" s="3" t="s">
        <v>19</v>
      </c>
      <c r="B196" s="3">
        <f t="shared" si="77"/>
        <v>94.11</v>
      </c>
      <c r="C196" s="1">
        <f t="shared" si="78"/>
        <v>16482170.783173867</v>
      </c>
      <c r="D196" s="3">
        <f t="shared" si="79"/>
        <v>0.5</v>
      </c>
      <c r="E196" s="3">
        <f t="shared" si="80"/>
        <v>78.8</v>
      </c>
      <c r="F196">
        <f t="shared" si="81"/>
        <v>5.6299384697672181</v>
      </c>
      <c r="G196">
        <f t="shared" si="82"/>
        <v>5.7866627425901269</v>
      </c>
      <c r="H196">
        <f t="shared" si="68"/>
        <v>2.4662991376248063E-2</v>
      </c>
      <c r="I196">
        <f t="shared" si="69"/>
        <v>863204.69816868217</v>
      </c>
      <c r="J196">
        <f t="shared" si="83"/>
        <v>15618966.085005185</v>
      </c>
    </row>
    <row r="197" spans="1:10" x14ac:dyDescent="0.25">
      <c r="A197" s="3" t="s">
        <v>19</v>
      </c>
      <c r="B197" s="3">
        <f t="shared" si="77"/>
        <v>94.11</v>
      </c>
      <c r="C197" s="1">
        <f t="shared" si="78"/>
        <v>15618966.085005185</v>
      </c>
      <c r="D197" s="3">
        <f t="shared" si="79"/>
        <v>0.5</v>
      </c>
      <c r="E197" s="3">
        <f t="shared" si="80"/>
        <v>78.8</v>
      </c>
      <c r="F197">
        <f t="shared" si="81"/>
        <v>5.6362836474321929</v>
      </c>
      <c r="G197">
        <f t="shared" si="82"/>
        <v>5.7597660987866615</v>
      </c>
      <c r="H197">
        <f t="shared" si="68"/>
        <v>2.5284730426179149E-2</v>
      </c>
      <c r="I197">
        <f t="shared" si="69"/>
        <v>884965.5649162702</v>
      </c>
      <c r="J197">
        <f t="shared" si="83"/>
        <v>14734000.520088915</v>
      </c>
    </row>
    <row r="198" spans="1:10" x14ac:dyDescent="0.25">
      <c r="A198" s="3" t="s">
        <v>19</v>
      </c>
      <c r="B198" s="3">
        <f t="shared" si="77"/>
        <v>94.11</v>
      </c>
      <c r="C198" s="1">
        <f t="shared" si="78"/>
        <v>14734000.520088915</v>
      </c>
      <c r="D198" s="3">
        <f t="shared" si="79"/>
        <v>0.5</v>
      </c>
      <c r="E198" s="3">
        <f t="shared" si="80"/>
        <v>78.8</v>
      </c>
      <c r="F198">
        <f t="shared" si="81"/>
        <v>5.6426288250971677</v>
      </c>
      <c r="G198">
        <f t="shared" si="82"/>
        <v>5.7306020153263768</v>
      </c>
      <c r="H198">
        <f t="shared" si="68"/>
        <v>2.5964069148218995E-2</v>
      </c>
      <c r="I198">
        <f t="shared" si="69"/>
        <v>908742.4201876648</v>
      </c>
      <c r="J198">
        <f t="shared" si="83"/>
        <v>13825258.09990125</v>
      </c>
    </row>
    <row r="199" spans="1:10" x14ac:dyDescent="0.25">
      <c r="A199" s="3" t="s">
        <v>19</v>
      </c>
      <c r="B199" s="3">
        <f t="shared" si="77"/>
        <v>94.11</v>
      </c>
      <c r="C199" s="1">
        <f t="shared" si="78"/>
        <v>13825258.09990125</v>
      </c>
      <c r="D199" s="3">
        <f t="shared" si="79"/>
        <v>0.5</v>
      </c>
      <c r="E199" s="3">
        <f t="shared" si="80"/>
        <v>78.8</v>
      </c>
      <c r="F199">
        <f t="shared" si="81"/>
        <v>5.6489740027621425</v>
      </c>
      <c r="G199">
        <f t="shared" si="82"/>
        <v>5.6987717316991633</v>
      </c>
      <c r="H199">
        <f t="shared" si="68"/>
        <v>2.6712100653237286E-2</v>
      </c>
      <c r="I199">
        <f t="shared" si="69"/>
        <v>934923.52286330506</v>
      </c>
      <c r="J199">
        <f t="shared" si="83"/>
        <v>12890334.577037945</v>
      </c>
    </row>
    <row r="200" spans="1:10" x14ac:dyDescent="0.25">
      <c r="A200" s="3" t="s">
        <v>19</v>
      </c>
      <c r="B200" s="3">
        <f t="shared" si="77"/>
        <v>94.11</v>
      </c>
      <c r="C200" s="1">
        <f t="shared" si="78"/>
        <v>12890334.577037945</v>
      </c>
      <c r="D200" s="3">
        <f t="shared" si="79"/>
        <v>0.5</v>
      </c>
      <c r="E200" s="3">
        <f t="shared" si="80"/>
        <v>78.8</v>
      </c>
      <c r="F200">
        <f t="shared" si="81"/>
        <v>5.6553191804271172</v>
      </c>
      <c r="G200">
        <f t="shared" si="82"/>
        <v>5.6637620100167441</v>
      </c>
      <c r="H200">
        <f t="shared" si="68"/>
        <v>2.7543312090570437E-2</v>
      </c>
      <c r="I200">
        <f t="shared" si="69"/>
        <v>964015.92316996527</v>
      </c>
      <c r="J200">
        <f t="shared" si="83"/>
        <v>11926318.65386798</v>
      </c>
    </row>
    <row r="201" spans="1:10" x14ac:dyDescent="0.25">
      <c r="A201" s="3" t="s">
        <v>19</v>
      </c>
      <c r="B201" s="3">
        <f t="shared" si="77"/>
        <v>94.11</v>
      </c>
      <c r="C201" s="1">
        <f t="shared" si="78"/>
        <v>11926318.65386798</v>
      </c>
      <c r="D201" s="3">
        <f t="shared" si="79"/>
        <v>0.5</v>
      </c>
      <c r="E201" s="3">
        <f t="shared" si="80"/>
        <v>78.8</v>
      </c>
      <c r="F201">
        <f t="shared" si="81"/>
        <v>5.661664358092092</v>
      </c>
      <c r="G201">
        <f t="shared" si="82"/>
        <v>5.6248969283476464</v>
      </c>
      <c r="H201">
        <f t="shared" si="68"/>
        <v>2.8477084880995495E-2</v>
      </c>
      <c r="I201">
        <f t="shared" si="69"/>
        <v>996697.9708348423</v>
      </c>
      <c r="J201">
        <f t="shared" si="83"/>
        <v>10929620.683033139</v>
      </c>
    </row>
    <row r="202" spans="1:10" x14ac:dyDescent="0.25">
      <c r="A202" t="s">
        <v>15</v>
      </c>
      <c r="B202">
        <f>$B$2</f>
        <v>7.97</v>
      </c>
      <c r="C202" s="1">
        <f>J201</f>
        <v>10929620.683033139</v>
      </c>
      <c r="D202">
        <f>$D$2</f>
        <v>0.5</v>
      </c>
      <c r="E202" s="1">
        <f>$E$2</f>
        <v>9.9459999999999997</v>
      </c>
      <c r="F202">
        <f>D202/E202+F201</f>
        <v>5.7119358240080382</v>
      </c>
      <c r="G202">
        <f>0.5*(LN(C202/B202)-0.5)</f>
        <v>6.815651331271412</v>
      </c>
      <c r="H202">
        <f t="shared" si="68"/>
        <v>1.0540203212319863E-2</v>
      </c>
      <c r="I202">
        <f t="shared" si="69"/>
        <v>368907.11243119522</v>
      </c>
      <c r="J202">
        <f>C202-I202</f>
        <v>10560713.570601944</v>
      </c>
    </row>
    <row r="203" spans="1:10" x14ac:dyDescent="0.25">
      <c r="A203" t="s">
        <v>15</v>
      </c>
      <c r="B203">
        <f>$B$2</f>
        <v>7.97</v>
      </c>
      <c r="C203" s="1">
        <f>J202</f>
        <v>10560713.570601944</v>
      </c>
      <c r="D203">
        <f>$D$2</f>
        <v>0.5</v>
      </c>
      <c r="E203" s="1">
        <f>$E$2</f>
        <v>9.9459999999999997</v>
      </c>
      <c r="F203">
        <f>D203/E203+F202</f>
        <v>5.7622072899239845</v>
      </c>
      <c r="G203">
        <f>0.5*(LN(C203/B203)-0.5)</f>
        <v>6.7984834570654922</v>
      </c>
      <c r="H203">
        <f t="shared" si="68"/>
        <v>1.1087019563208534E-2</v>
      </c>
      <c r="I203">
        <f t="shared" si="69"/>
        <v>388045.68471229868</v>
      </c>
      <c r="J203">
        <f>C203-I203</f>
        <v>10172667.885889646</v>
      </c>
    </row>
    <row r="204" spans="1:10" x14ac:dyDescent="0.25">
      <c r="A204" t="s">
        <v>15</v>
      </c>
      <c r="B204">
        <f>$B$2</f>
        <v>7.97</v>
      </c>
      <c r="C204" s="1">
        <f>J203</f>
        <v>10172667.885889646</v>
      </c>
      <c r="D204">
        <f>$D$2</f>
        <v>0.5</v>
      </c>
      <c r="E204" s="1">
        <f>$E$2</f>
        <v>9.9459999999999997</v>
      </c>
      <c r="F204">
        <f>D204/E204+F203</f>
        <v>5.8124787558399307</v>
      </c>
      <c r="G204">
        <f>0.5*(LN(C204/B204)-0.5)</f>
        <v>6.7797652849082084</v>
      </c>
      <c r="H204">
        <f t="shared" si="68"/>
        <v>1.1668825115327857E-2</v>
      </c>
      <c r="I204">
        <f t="shared" si="69"/>
        <v>408408.87903647503</v>
      </c>
      <c r="J204">
        <f>C204-I204</f>
        <v>9764259.0068531707</v>
      </c>
    </row>
    <row r="205" spans="1:10" x14ac:dyDescent="0.25">
      <c r="A205" t="s">
        <v>15</v>
      </c>
      <c r="B205">
        <f>$B$2</f>
        <v>7.97</v>
      </c>
      <c r="C205" s="1">
        <f>J204</f>
        <v>9764259.0068531707</v>
      </c>
      <c r="D205">
        <f>$D$2</f>
        <v>0.5</v>
      </c>
      <c r="E205" s="1">
        <f>$E$2</f>
        <v>9.9459999999999997</v>
      </c>
      <c r="F205">
        <f>D205/E205+F204</f>
        <v>5.8627502217558769</v>
      </c>
      <c r="G205">
        <f>0.5*(LN(C205/B205)-0.5)</f>
        <v>6.7592773720284232</v>
      </c>
      <c r="H205">
        <f t="shared" si="68"/>
        <v>1.2290098398688802E-2</v>
      </c>
      <c r="I205">
        <f t="shared" si="69"/>
        <v>430153.44395410805</v>
      </c>
      <c r="J205">
        <f>C205-I205</f>
        <v>9334105.5628990624</v>
      </c>
    </row>
    <row r="206" spans="1:10" x14ac:dyDescent="0.25">
      <c r="A206" t="s">
        <v>15</v>
      </c>
      <c r="B206">
        <f>$B$2</f>
        <v>7.97</v>
      </c>
      <c r="C206" s="1">
        <f>J205</f>
        <v>9334105.5628990624</v>
      </c>
      <c r="D206">
        <f>$D$2</f>
        <v>0.5</v>
      </c>
      <c r="E206" s="1">
        <f>$E$2</f>
        <v>9.9459999999999997</v>
      </c>
      <c r="F206">
        <f>D206/E206+F205</f>
        <v>5.9130216876718231</v>
      </c>
      <c r="G206">
        <f>0.5*(LN(C206/B206)-0.5)</f>
        <v>6.7367505110643071</v>
      </c>
      <c r="H206">
        <f t="shared" si="68"/>
        <v>1.2956376879816704E-2</v>
      </c>
      <c r="I206">
        <f t="shared" si="69"/>
        <v>453473.19079358462</v>
      </c>
      <c r="J206">
        <f>C206-I206</f>
        <v>8880632.3721054774</v>
      </c>
    </row>
    <row r="207" spans="1:10" x14ac:dyDescent="0.25">
      <c r="A207" t="s">
        <v>15</v>
      </c>
      <c r="B207">
        <f>$B$2</f>
        <v>7.97</v>
      </c>
      <c r="C207" s="1">
        <f>J206</f>
        <v>8880632.3721054774</v>
      </c>
      <c r="D207">
        <f>$D$2</f>
        <v>0.5</v>
      </c>
      <c r="E207" s="1">
        <f>$E$2</f>
        <v>9.9459999999999997</v>
      </c>
      <c r="F207">
        <f>D207/E207+F206</f>
        <v>5.9632931535877693</v>
      </c>
      <c r="G207">
        <f>0.5*(LN(C207/B207)-0.5)</f>
        <v>6.7118494163528197</v>
      </c>
      <c r="H207">
        <f t="shared" si="68"/>
        <v>1.3674620012720113E-2</v>
      </c>
      <c r="I207">
        <f t="shared" si="69"/>
        <v>478611.70044520398</v>
      </c>
      <c r="J207">
        <f>C207-I207</f>
        <v>8402020.6716602743</v>
      </c>
    </row>
    <row r="208" spans="1:10" x14ac:dyDescent="0.25">
      <c r="A208" t="s">
        <v>15</v>
      </c>
      <c r="B208">
        <f>$B$2</f>
        <v>7.97</v>
      </c>
      <c r="C208" s="1">
        <f>J207</f>
        <v>8402020.6716602743</v>
      </c>
      <c r="D208">
        <f>$D$2</f>
        <v>0.5</v>
      </c>
      <c r="E208" s="1">
        <f>$E$2</f>
        <v>9.9459999999999997</v>
      </c>
      <c r="F208">
        <f>D208/E208+F207</f>
        <v>6.0135646195037156</v>
      </c>
      <c r="G208">
        <f>0.5*(LN(C208/B208)-0.5)</f>
        <v>6.6841491491162301</v>
      </c>
      <c r="H208">
        <f t="shared" si="68"/>
        <v>1.4453740268025051E-2</v>
      </c>
      <c r="I208">
        <f t="shared" si="69"/>
        <v>505880.90938087681</v>
      </c>
      <c r="J208">
        <f>C208-I208</f>
        <v>7896139.7622793978</v>
      </c>
    </row>
    <row r="209" spans="1:10" x14ac:dyDescent="0.25">
      <c r="A209" t="s">
        <v>15</v>
      </c>
      <c r="B209">
        <f>$B$2</f>
        <v>7.97</v>
      </c>
      <c r="C209" s="1">
        <f>J208</f>
        <v>7896139.7622793978</v>
      </c>
      <c r="D209">
        <f>$D$2</f>
        <v>0.5</v>
      </c>
      <c r="E209" s="1">
        <f>$E$2</f>
        <v>9.9459999999999997</v>
      </c>
      <c r="F209">
        <f>D209/E209+F208</f>
        <v>6.0638360854196618</v>
      </c>
      <c r="G209">
        <f>0.5*(LN(C209/B209)-0.5)</f>
        <v>6.6531000337633381</v>
      </c>
      <c r="H209">
        <f t="shared" si="68"/>
        <v>1.5305403902776774E-2</v>
      </c>
      <c r="I209">
        <f t="shared" si="69"/>
        <v>535689.13659718714</v>
      </c>
      <c r="J209">
        <f>C209-I209</f>
        <v>7360450.6256822105</v>
      </c>
    </row>
    <row r="210" spans="1:10" x14ac:dyDescent="0.25">
      <c r="A210" t="s">
        <v>15</v>
      </c>
      <c r="B210">
        <f>$B$2</f>
        <v>7.97</v>
      </c>
      <c r="C210" s="1">
        <f>J209</f>
        <v>7360450.6256822105</v>
      </c>
      <c r="D210">
        <f>$D$2</f>
        <v>0.5</v>
      </c>
      <c r="E210" s="1">
        <f>$E$2</f>
        <v>9.9459999999999997</v>
      </c>
      <c r="F210">
        <f>D210/E210+F209</f>
        <v>6.114107551335608</v>
      </c>
      <c r="G210">
        <f>0.5*(LN(C210/B210)-0.5)</f>
        <v>6.6179736111720997</v>
      </c>
      <c r="H210">
        <f t="shared" si="68"/>
        <v>1.6245282551073079E-2</v>
      </c>
      <c r="I210">
        <f t="shared" si="69"/>
        <v>568584.8892875578</v>
      </c>
      <c r="J210">
        <f>C210-I210</f>
        <v>6791865.7363946531</v>
      </c>
    </row>
    <row r="211" spans="1:10" x14ac:dyDescent="0.25">
      <c r="A211" t="s">
        <v>15</v>
      </c>
      <c r="B211">
        <f>$B$2</f>
        <v>7.97</v>
      </c>
      <c r="C211" s="1">
        <f>J210</f>
        <v>6791865.7363946531</v>
      </c>
      <c r="D211">
        <f>$D$2</f>
        <v>0.5</v>
      </c>
      <c r="E211" s="1">
        <f>$E$2</f>
        <v>9.9459999999999997</v>
      </c>
      <c r="F211">
        <f>D211/E211+F210</f>
        <v>6.1643790172515542</v>
      </c>
      <c r="G211">
        <f>0.5*(LN(C211/B211)-0.5)</f>
        <v>6.5777758730358027</v>
      </c>
      <c r="H211">
        <f t="shared" si="68"/>
        <v>1.7295094939490795E-2</v>
      </c>
      <c r="I211">
        <f t="shared" si="69"/>
        <v>605328.32288217777</v>
      </c>
      <c r="J211">
        <f>C211-I211</f>
        <v>6186537.4135124758</v>
      </c>
    </row>
    <row r="212" spans="1:10" x14ac:dyDescent="0.25">
      <c r="A212" s="3" t="s">
        <v>19</v>
      </c>
      <c r="B212" s="3">
        <f>$B$12</f>
        <v>94.11</v>
      </c>
      <c r="C212" s="1">
        <f>J211</f>
        <v>6186537.4135124758</v>
      </c>
      <c r="D212" s="3">
        <f>$D$12</f>
        <v>0.5</v>
      </c>
      <c r="E212" s="3">
        <f>$E$12</f>
        <v>78.8</v>
      </c>
      <c r="F212">
        <f>D212/E212+F211</f>
        <v>6.170724194916529</v>
      </c>
      <c r="G212">
        <f>0.5*(LN(C212/B212)-0.5)</f>
        <v>5.2967108966764274</v>
      </c>
      <c r="H212">
        <f t="shared" si="68"/>
        <v>4.4492832410146475E-2</v>
      </c>
      <c r="I212">
        <f t="shared" si="69"/>
        <v>1557249.1343551266</v>
      </c>
      <c r="J212">
        <f>C212-I212</f>
        <v>4629288.2791573489</v>
      </c>
    </row>
    <row r="213" spans="1:10" x14ac:dyDescent="0.25">
      <c r="A213" s="3" t="s">
        <v>19</v>
      </c>
      <c r="B213" s="3">
        <f t="shared" ref="B213:B221" si="84">$B$12</f>
        <v>94.11</v>
      </c>
      <c r="C213" s="1">
        <f t="shared" ref="C213:C221" si="85">J212</f>
        <v>4629288.2791573489</v>
      </c>
      <c r="D213" s="3">
        <f t="shared" ref="D213:D221" si="86">$D$12</f>
        <v>0.5</v>
      </c>
      <c r="E213" s="3">
        <f t="shared" ref="E213:E221" si="87">$E$12</f>
        <v>78.8</v>
      </c>
      <c r="F213">
        <f t="shared" ref="F213:F221" si="88">D213/E213+F212</f>
        <v>6.1770693725815038</v>
      </c>
      <c r="G213">
        <f t="shared" ref="G213:G221" si="89">0.5*(LN(C213/B213)-0.5)</f>
        <v>5.1517246919856108</v>
      </c>
      <c r="H213">
        <f t="shared" si="68"/>
        <v>4.877590981133105E-2</v>
      </c>
      <c r="I213">
        <f t="shared" si="69"/>
        <v>1707156.8433965868</v>
      </c>
      <c r="J213">
        <f t="shared" ref="J213:J221" si="90">C213-I213</f>
        <v>2922131.4357607621</v>
      </c>
    </row>
    <row r="214" spans="1:10" x14ac:dyDescent="0.25">
      <c r="A214" s="3" t="s">
        <v>19</v>
      </c>
      <c r="B214" s="3">
        <f t="shared" si="84"/>
        <v>94.11</v>
      </c>
      <c r="C214" s="1">
        <f t="shared" si="85"/>
        <v>2922131.4357607621</v>
      </c>
      <c r="D214" s="3">
        <f t="shared" si="86"/>
        <v>0.5</v>
      </c>
      <c r="E214" s="3">
        <f t="shared" si="87"/>
        <v>78.8</v>
      </c>
      <c r="F214">
        <f t="shared" si="88"/>
        <v>6.1834145502464786</v>
      </c>
      <c r="G214">
        <f t="shared" si="89"/>
        <v>4.921679770424042</v>
      </c>
      <c r="H214">
        <f t="shared" si="68"/>
        <v>5.5906979747246149E-2</v>
      </c>
      <c r="I214">
        <f t="shared" si="69"/>
        <v>1956744.2911536153</v>
      </c>
      <c r="J214">
        <f t="shared" si="90"/>
        <v>965387.14460714674</v>
      </c>
    </row>
    <row r="215" spans="1:10" x14ac:dyDescent="0.25">
      <c r="A215" s="3" t="s">
        <v>19</v>
      </c>
      <c r="B215" s="3">
        <f t="shared" si="84"/>
        <v>94.11</v>
      </c>
      <c r="C215" s="1">
        <f t="shared" si="85"/>
        <v>965387.14460714674</v>
      </c>
      <c r="D215" s="3">
        <f t="shared" si="86"/>
        <v>0.5</v>
      </c>
      <c r="E215" s="3">
        <f t="shared" si="87"/>
        <v>78.8</v>
      </c>
      <c r="F215">
        <f t="shared" si="88"/>
        <v>6.1897597279114533</v>
      </c>
      <c r="G215">
        <f t="shared" si="89"/>
        <v>4.3679100875590935</v>
      </c>
      <c r="H215">
        <f t="shared" si="68"/>
        <v>7.4262893240192099E-2</v>
      </c>
      <c r="I215">
        <f t="shared" si="69"/>
        <v>2599201.2634067233</v>
      </c>
      <c r="J215">
        <f t="shared" si="90"/>
        <v>-1633814.1187995765</v>
      </c>
    </row>
    <row r="216" spans="1:10" x14ac:dyDescent="0.25">
      <c r="A216" s="3" t="s">
        <v>19</v>
      </c>
      <c r="B216" s="3">
        <f t="shared" si="84"/>
        <v>94.11</v>
      </c>
      <c r="C216" s="1">
        <f t="shared" si="85"/>
        <v>-1633814.1187995765</v>
      </c>
      <c r="D216" s="3">
        <f t="shared" si="86"/>
        <v>0.5</v>
      </c>
      <c r="E216" s="3">
        <f t="shared" si="87"/>
        <v>78.8</v>
      </c>
      <c r="F216">
        <f t="shared" si="88"/>
        <v>6.1961049055764281</v>
      </c>
      <c r="G216" t="e">
        <f t="shared" si="89"/>
        <v>#NUM!</v>
      </c>
      <c r="H216" t="e">
        <f t="shared" ref="H216:H221" si="91">(POWER(F216,G216)*EXP(-F216/2))/(POWER(2,G216+1)*_xlfn.GAMMA(G216+1))</f>
        <v>#NUM!</v>
      </c>
      <c r="I216" t="e">
        <f t="shared" ref="I216:I221" si="92">$C$2*H216</f>
        <v>#NUM!</v>
      </c>
      <c r="J216" t="e">
        <f t="shared" si="90"/>
        <v>#NUM!</v>
      </c>
    </row>
    <row r="217" spans="1:10" x14ac:dyDescent="0.25">
      <c r="A217" s="3" t="s">
        <v>19</v>
      </c>
      <c r="B217" s="3">
        <f t="shared" si="84"/>
        <v>94.11</v>
      </c>
      <c r="C217" s="1" t="e">
        <f t="shared" ref="C217:C221" si="93">J216</f>
        <v>#NUM!</v>
      </c>
      <c r="D217" s="3">
        <f t="shared" si="86"/>
        <v>0.5</v>
      </c>
      <c r="E217" s="3">
        <f t="shared" si="87"/>
        <v>78.8</v>
      </c>
      <c r="F217">
        <f t="shared" ref="F217:F221" si="94">D217/E217+F216</f>
        <v>6.2024500832414029</v>
      </c>
      <c r="G217" t="e">
        <f t="shared" ref="G217:G221" si="95">0.5*(LN(C217/B217)-0.5)</f>
        <v>#NUM!</v>
      </c>
      <c r="H217" t="e">
        <f t="shared" si="91"/>
        <v>#NUM!</v>
      </c>
      <c r="I217" t="e">
        <f t="shared" si="92"/>
        <v>#NUM!</v>
      </c>
      <c r="J217" t="e">
        <f t="shared" ref="J217:J221" si="96">C217-I217</f>
        <v>#NUM!</v>
      </c>
    </row>
    <row r="218" spans="1:10" x14ac:dyDescent="0.25">
      <c r="A218" s="3" t="s">
        <v>19</v>
      </c>
      <c r="B218" s="3">
        <f t="shared" si="84"/>
        <v>94.11</v>
      </c>
      <c r="C218" s="1" t="e">
        <f t="shared" si="93"/>
        <v>#NUM!</v>
      </c>
      <c r="D218" s="3">
        <f t="shared" si="86"/>
        <v>0.5</v>
      </c>
      <c r="E218" s="3">
        <f t="shared" si="87"/>
        <v>78.8</v>
      </c>
      <c r="F218">
        <f t="shared" si="94"/>
        <v>6.2087952609063777</v>
      </c>
      <c r="G218" t="e">
        <f t="shared" si="95"/>
        <v>#NUM!</v>
      </c>
      <c r="H218" t="e">
        <f t="shared" si="91"/>
        <v>#NUM!</v>
      </c>
      <c r="I218" t="e">
        <f t="shared" si="92"/>
        <v>#NUM!</v>
      </c>
      <c r="J218" t="e">
        <f t="shared" si="96"/>
        <v>#NUM!</v>
      </c>
    </row>
    <row r="219" spans="1:10" x14ac:dyDescent="0.25">
      <c r="A219" s="3" t="s">
        <v>19</v>
      </c>
      <c r="B219" s="3">
        <f t="shared" si="84"/>
        <v>94.11</v>
      </c>
      <c r="C219" s="1" t="e">
        <f t="shared" si="93"/>
        <v>#NUM!</v>
      </c>
      <c r="D219" s="3">
        <f t="shared" si="86"/>
        <v>0.5</v>
      </c>
      <c r="E219" s="3">
        <f t="shared" si="87"/>
        <v>78.8</v>
      </c>
      <c r="F219">
        <f t="shared" si="94"/>
        <v>6.2151404385713525</v>
      </c>
      <c r="G219" t="e">
        <f t="shared" si="95"/>
        <v>#NUM!</v>
      </c>
      <c r="H219" t="e">
        <f t="shared" si="91"/>
        <v>#NUM!</v>
      </c>
      <c r="I219" t="e">
        <f t="shared" si="92"/>
        <v>#NUM!</v>
      </c>
      <c r="J219" t="e">
        <f t="shared" si="96"/>
        <v>#NUM!</v>
      </c>
    </row>
    <row r="220" spans="1:10" x14ac:dyDescent="0.25">
      <c r="A220" s="3" t="s">
        <v>19</v>
      </c>
      <c r="B220" s="3">
        <f t="shared" si="84"/>
        <v>94.11</v>
      </c>
      <c r="C220" s="1" t="e">
        <f t="shared" si="93"/>
        <v>#NUM!</v>
      </c>
      <c r="D220" s="3">
        <f t="shared" si="86"/>
        <v>0.5</v>
      </c>
      <c r="E220" s="3">
        <f t="shared" si="87"/>
        <v>78.8</v>
      </c>
      <c r="F220">
        <f t="shared" si="94"/>
        <v>6.2214856162363272</v>
      </c>
      <c r="G220" t="e">
        <f t="shared" si="95"/>
        <v>#NUM!</v>
      </c>
      <c r="H220" t="e">
        <f t="shared" si="91"/>
        <v>#NUM!</v>
      </c>
      <c r="I220" t="e">
        <f t="shared" si="92"/>
        <v>#NUM!</v>
      </c>
      <c r="J220" t="e">
        <f t="shared" si="96"/>
        <v>#NUM!</v>
      </c>
    </row>
    <row r="221" spans="1:10" x14ac:dyDescent="0.25">
      <c r="A221" s="3" t="s">
        <v>19</v>
      </c>
      <c r="B221" s="3">
        <f t="shared" si="84"/>
        <v>94.11</v>
      </c>
      <c r="C221" s="1" t="e">
        <f t="shared" si="93"/>
        <v>#NUM!</v>
      </c>
      <c r="D221" s="3">
        <f t="shared" si="86"/>
        <v>0.5</v>
      </c>
      <c r="E221" s="3">
        <f t="shared" si="87"/>
        <v>78.8</v>
      </c>
      <c r="F221">
        <f t="shared" si="94"/>
        <v>6.227830793901302</v>
      </c>
      <c r="G221" t="e">
        <f t="shared" si="95"/>
        <v>#NUM!</v>
      </c>
      <c r="H221" t="e">
        <f t="shared" si="91"/>
        <v>#NUM!</v>
      </c>
      <c r="I221" t="e">
        <f t="shared" si="92"/>
        <v>#NUM!</v>
      </c>
      <c r="J221" t="e">
        <f t="shared" si="96"/>
        <v>#NUM!</v>
      </c>
    </row>
    <row r="222" spans="1:10" x14ac:dyDescent="0.25">
      <c r="C222" s="1"/>
      <c r="E222" s="1"/>
    </row>
    <row r="223" spans="1:10" x14ac:dyDescent="0.25">
      <c r="C223" s="1"/>
      <c r="E223" s="1"/>
    </row>
    <row r="224" spans="1:10" x14ac:dyDescent="0.25">
      <c r="C224" s="1"/>
      <c r="E224" s="1"/>
    </row>
    <row r="225" spans="1:5" x14ac:dyDescent="0.25">
      <c r="C225" s="1"/>
      <c r="E225" s="1"/>
    </row>
    <row r="226" spans="1:5" x14ac:dyDescent="0.25">
      <c r="C226" s="1"/>
      <c r="E226" s="1"/>
    </row>
    <row r="227" spans="1:5" x14ac:dyDescent="0.25">
      <c r="C227" s="1"/>
      <c r="E227" s="1"/>
    </row>
    <row r="228" spans="1:5" x14ac:dyDescent="0.25">
      <c r="C228" s="1"/>
      <c r="E228" s="1"/>
    </row>
    <row r="229" spans="1:5" x14ac:dyDescent="0.25">
      <c r="C229" s="1"/>
      <c r="E229" s="1"/>
    </row>
    <row r="230" spans="1:5" x14ac:dyDescent="0.25">
      <c r="C230" s="1"/>
      <c r="E230" s="1"/>
    </row>
    <row r="231" spans="1:5" x14ac:dyDescent="0.25">
      <c r="C231" s="1"/>
      <c r="E231" s="1"/>
    </row>
    <row r="232" spans="1:5" x14ac:dyDescent="0.25">
      <c r="A232" s="3"/>
      <c r="B232" s="3"/>
      <c r="C232" s="1"/>
      <c r="D232" s="3"/>
      <c r="E232" s="3"/>
    </row>
    <row r="233" spans="1:5" x14ac:dyDescent="0.25">
      <c r="A233" s="3"/>
      <c r="B233" s="3"/>
      <c r="C233" s="1"/>
      <c r="D233" s="3"/>
      <c r="E233" s="3"/>
    </row>
    <row r="234" spans="1:5" x14ac:dyDescent="0.25">
      <c r="A234" s="3"/>
      <c r="B234" s="3"/>
      <c r="C234" s="1"/>
      <c r="D234" s="3"/>
      <c r="E234" s="3"/>
    </row>
    <row r="235" spans="1:5" x14ac:dyDescent="0.25">
      <c r="A235" s="3"/>
      <c r="B235" s="3"/>
      <c r="C235" s="1"/>
      <c r="D235" s="3"/>
      <c r="E235" s="3"/>
    </row>
    <row r="236" spans="1:5" x14ac:dyDescent="0.25">
      <c r="A236" s="3"/>
      <c r="B236" s="3"/>
      <c r="C236" s="1"/>
      <c r="D236" s="3"/>
      <c r="E236" s="3"/>
    </row>
    <row r="237" spans="1:5" x14ac:dyDescent="0.25">
      <c r="A237" s="3"/>
      <c r="B237" s="3"/>
      <c r="C237" s="1"/>
      <c r="D237" s="3"/>
      <c r="E237" s="3"/>
    </row>
    <row r="238" spans="1:5" x14ac:dyDescent="0.25">
      <c r="A238" s="3"/>
      <c r="B238" s="3"/>
      <c r="C238" s="1"/>
      <c r="D238" s="3"/>
      <c r="E238" s="3"/>
    </row>
    <row r="239" spans="1:5" x14ac:dyDescent="0.25">
      <c r="A239" s="3"/>
      <c r="B239" s="3"/>
      <c r="C239" s="1"/>
      <c r="D239" s="3"/>
      <c r="E239" s="3"/>
    </row>
    <row r="240" spans="1:5" x14ac:dyDescent="0.25">
      <c r="A240" s="3"/>
      <c r="B240" s="3"/>
      <c r="C240" s="1"/>
      <c r="D240" s="3"/>
      <c r="E240" s="3"/>
    </row>
    <row r="241" spans="1:5" x14ac:dyDescent="0.25">
      <c r="A241" s="3"/>
      <c r="B241" s="3"/>
      <c r="C241" s="1"/>
      <c r="D241" s="3"/>
      <c r="E241" s="3"/>
    </row>
    <row r="242" spans="1:5" x14ac:dyDescent="0.25">
      <c r="C242" s="1"/>
      <c r="E242" s="1"/>
    </row>
    <row r="243" spans="1:5" x14ac:dyDescent="0.25">
      <c r="C243" s="1"/>
      <c r="E243" s="1"/>
    </row>
    <row r="244" spans="1:5" x14ac:dyDescent="0.25">
      <c r="C244" s="1"/>
      <c r="E244" s="1"/>
    </row>
    <row r="245" spans="1:5" x14ac:dyDescent="0.25">
      <c r="C245" s="1"/>
      <c r="E245" s="1"/>
    </row>
    <row r="246" spans="1:5" x14ac:dyDescent="0.25">
      <c r="C246" s="1"/>
      <c r="E246" s="1"/>
    </row>
    <row r="247" spans="1:5" x14ac:dyDescent="0.25">
      <c r="C247" s="1"/>
      <c r="E247" s="1"/>
    </row>
    <row r="248" spans="1:5" x14ac:dyDescent="0.25">
      <c r="C248" s="1"/>
      <c r="E248" s="1"/>
    </row>
    <row r="249" spans="1:5" x14ac:dyDescent="0.25">
      <c r="C249" s="1"/>
      <c r="E249" s="1"/>
    </row>
    <row r="250" spans="1:5" x14ac:dyDescent="0.25">
      <c r="C250" s="1"/>
      <c r="E250" s="1"/>
    </row>
    <row r="251" spans="1:5" x14ac:dyDescent="0.25">
      <c r="C251" s="1"/>
      <c r="E251" s="1"/>
    </row>
    <row r="252" spans="1:5" x14ac:dyDescent="0.25">
      <c r="A252" s="3"/>
      <c r="B252" s="3"/>
      <c r="C252" s="1"/>
      <c r="D252" s="3"/>
      <c r="E252" s="3"/>
    </row>
    <row r="253" spans="1:5" x14ac:dyDescent="0.25">
      <c r="A253" s="3"/>
      <c r="B253" s="3"/>
      <c r="C253" s="1"/>
      <c r="D253" s="3"/>
      <c r="E253" s="3"/>
    </row>
    <row r="254" spans="1:5" x14ac:dyDescent="0.25">
      <c r="A254" s="3"/>
      <c r="B254" s="3"/>
      <c r="C254" s="1"/>
      <c r="D254" s="3"/>
      <c r="E254" s="3"/>
    </row>
    <row r="255" spans="1:5" x14ac:dyDescent="0.25">
      <c r="A255" s="3"/>
      <c r="B255" s="3"/>
      <c r="C255" s="1"/>
      <c r="D255" s="3"/>
      <c r="E255" s="3"/>
    </row>
    <row r="256" spans="1:5" x14ac:dyDescent="0.25">
      <c r="A256" s="3"/>
      <c r="B256" s="3"/>
      <c r="C256" s="1"/>
      <c r="D256" s="3"/>
      <c r="E256" s="3"/>
    </row>
    <row r="257" spans="1:5" x14ac:dyDescent="0.25">
      <c r="A257" s="3"/>
      <c r="B257" s="3"/>
      <c r="C257" s="1"/>
      <c r="D257" s="3"/>
      <c r="E257" s="3"/>
    </row>
    <row r="258" spans="1:5" x14ac:dyDescent="0.25">
      <c r="A258" s="3"/>
      <c r="B258" s="3"/>
      <c r="C258" s="1"/>
      <c r="D258" s="3"/>
      <c r="E258" s="3"/>
    </row>
    <row r="259" spans="1:5" x14ac:dyDescent="0.25">
      <c r="A259" s="3"/>
      <c r="B259" s="3"/>
      <c r="C259" s="1"/>
      <c r="D259" s="3"/>
      <c r="E259" s="3"/>
    </row>
    <row r="260" spans="1:5" x14ac:dyDescent="0.25">
      <c r="A260" s="3"/>
      <c r="B260" s="3"/>
      <c r="C260" s="1"/>
      <c r="D260" s="3"/>
      <c r="E260" s="3"/>
    </row>
    <row r="261" spans="1:5" x14ac:dyDescent="0.25">
      <c r="A261" s="3"/>
      <c r="B261" s="3"/>
      <c r="C261" s="1"/>
      <c r="D261" s="3"/>
      <c r="E261" s="3"/>
    </row>
    <row r="262" spans="1:5" x14ac:dyDescent="0.25">
      <c r="C262" s="1"/>
      <c r="E262" s="1"/>
    </row>
    <row r="263" spans="1:5" x14ac:dyDescent="0.25">
      <c r="C263" s="1"/>
      <c r="E263" s="1"/>
    </row>
    <row r="264" spans="1:5" x14ac:dyDescent="0.25">
      <c r="C264" s="1"/>
      <c r="E264" s="1"/>
    </row>
    <row r="265" spans="1:5" x14ac:dyDescent="0.25">
      <c r="C265" s="1"/>
      <c r="E265" s="1"/>
    </row>
    <row r="266" spans="1:5" x14ac:dyDescent="0.25">
      <c r="C266" s="1"/>
      <c r="E266" s="1"/>
    </row>
    <row r="267" spans="1:5" x14ac:dyDescent="0.25">
      <c r="C267" s="1"/>
      <c r="E267" s="1"/>
    </row>
    <row r="268" spans="1:5" x14ac:dyDescent="0.25">
      <c r="C268" s="1"/>
      <c r="E268" s="1"/>
    </row>
    <row r="269" spans="1:5" x14ac:dyDescent="0.25">
      <c r="C269" s="1"/>
      <c r="E269" s="1"/>
    </row>
    <row r="270" spans="1:5" x14ac:dyDescent="0.25">
      <c r="C270" s="1"/>
      <c r="E270" s="1"/>
    </row>
    <row r="271" spans="1:5" x14ac:dyDescent="0.25">
      <c r="C271" s="1"/>
      <c r="E271" s="1"/>
    </row>
    <row r="272" spans="1:5" x14ac:dyDescent="0.25">
      <c r="A272" s="3"/>
      <c r="B272" s="3"/>
      <c r="C272" s="1"/>
      <c r="D272" s="3"/>
      <c r="E272" s="3"/>
    </row>
    <row r="273" spans="1:5" x14ac:dyDescent="0.25">
      <c r="A273" s="3"/>
      <c r="B273" s="3"/>
      <c r="C273" s="1"/>
      <c r="D273" s="3"/>
      <c r="E273" s="3"/>
    </row>
    <row r="274" spans="1:5" x14ac:dyDescent="0.25">
      <c r="A274" s="3"/>
      <c r="B274" s="3"/>
      <c r="C274" s="1"/>
      <c r="D274" s="3"/>
      <c r="E274" s="3"/>
    </row>
    <row r="275" spans="1:5" x14ac:dyDescent="0.25">
      <c r="A275" s="3"/>
      <c r="B275" s="3"/>
      <c r="C275" s="1"/>
      <c r="D275" s="3"/>
      <c r="E275" s="3"/>
    </row>
    <row r="276" spans="1:5" x14ac:dyDescent="0.25">
      <c r="A276" s="3"/>
      <c r="B276" s="3"/>
      <c r="C276" s="1"/>
      <c r="D276" s="3"/>
      <c r="E276" s="3"/>
    </row>
    <row r="277" spans="1:5" x14ac:dyDescent="0.25">
      <c r="A277" s="3"/>
      <c r="B277" s="3"/>
      <c r="C277" s="1"/>
      <c r="D277" s="3"/>
      <c r="E277" s="3"/>
    </row>
    <row r="278" spans="1:5" x14ac:dyDescent="0.25">
      <c r="A278" s="3"/>
      <c r="B278" s="3"/>
      <c r="C278" s="1"/>
      <c r="D278" s="3"/>
      <c r="E278" s="3"/>
    </row>
    <row r="279" spans="1:5" x14ac:dyDescent="0.25">
      <c r="A279" s="3"/>
      <c r="B279" s="3"/>
      <c r="C279" s="1"/>
      <c r="D279" s="3"/>
      <c r="E279" s="3"/>
    </row>
    <row r="280" spans="1:5" x14ac:dyDescent="0.25">
      <c r="A280" s="3"/>
      <c r="B280" s="3"/>
      <c r="C280" s="1"/>
      <c r="D280" s="3"/>
      <c r="E280" s="3"/>
    </row>
    <row r="281" spans="1:5" x14ac:dyDescent="0.25">
      <c r="A281" s="3"/>
      <c r="B281" s="3"/>
      <c r="C281" s="1"/>
      <c r="D281" s="3"/>
      <c r="E281" s="3"/>
    </row>
    <row r="282" spans="1:5" x14ac:dyDescent="0.25">
      <c r="C282" s="1"/>
      <c r="E282" s="1"/>
    </row>
    <row r="283" spans="1:5" x14ac:dyDescent="0.25">
      <c r="C283" s="1"/>
      <c r="E283" s="1"/>
    </row>
    <row r="284" spans="1:5" x14ac:dyDescent="0.25">
      <c r="C284" s="1"/>
      <c r="E284" s="1"/>
    </row>
    <row r="285" spans="1:5" x14ac:dyDescent="0.25">
      <c r="C285" s="1"/>
      <c r="E285" s="1"/>
    </row>
    <row r="286" spans="1:5" x14ac:dyDescent="0.25">
      <c r="C286" s="1"/>
      <c r="E286" s="1"/>
    </row>
    <row r="287" spans="1:5" x14ac:dyDescent="0.25">
      <c r="C287" s="1"/>
      <c r="E287" s="1"/>
    </row>
    <row r="288" spans="1:5" x14ac:dyDescent="0.25">
      <c r="C288" s="1"/>
      <c r="E288" s="1"/>
    </row>
    <row r="289" spans="1:5" x14ac:dyDescent="0.25">
      <c r="C289" s="1"/>
      <c r="E289" s="1"/>
    </row>
    <row r="290" spans="1:5" x14ac:dyDescent="0.25">
      <c r="C290" s="1"/>
      <c r="E290" s="1"/>
    </row>
    <row r="291" spans="1:5" x14ac:dyDescent="0.25">
      <c r="C291" s="1"/>
      <c r="E291" s="1"/>
    </row>
    <row r="292" spans="1:5" x14ac:dyDescent="0.25">
      <c r="A292" s="3"/>
      <c r="B292" s="3"/>
      <c r="C292" s="1"/>
      <c r="D292" s="3"/>
      <c r="E292" s="3"/>
    </row>
    <row r="293" spans="1:5" x14ac:dyDescent="0.25">
      <c r="A293" s="3"/>
      <c r="B293" s="3"/>
      <c r="C293" s="1"/>
      <c r="D293" s="3"/>
      <c r="E293" s="3"/>
    </row>
    <row r="294" spans="1:5" x14ac:dyDescent="0.25">
      <c r="A294" s="3"/>
      <c r="B294" s="3"/>
      <c r="C294" s="1"/>
      <c r="D294" s="3"/>
      <c r="E294" s="3"/>
    </row>
    <row r="295" spans="1:5" x14ac:dyDescent="0.25">
      <c r="A295" s="3"/>
      <c r="B295" s="3"/>
      <c r="C295" s="1"/>
      <c r="D295" s="3"/>
      <c r="E295" s="3"/>
    </row>
    <row r="296" spans="1:5" x14ac:dyDescent="0.25">
      <c r="A296" s="3"/>
      <c r="B296" s="3"/>
      <c r="C296" s="1"/>
      <c r="D296" s="3"/>
      <c r="E296" s="3"/>
    </row>
    <row r="297" spans="1:5" x14ac:dyDescent="0.25">
      <c r="A297" s="3"/>
      <c r="B297" s="3"/>
      <c r="C297" s="1"/>
      <c r="D297" s="3"/>
      <c r="E297" s="3"/>
    </row>
    <row r="298" spans="1:5" x14ac:dyDescent="0.25">
      <c r="A298" s="3"/>
      <c r="B298" s="3"/>
      <c r="C298" s="1"/>
      <c r="D298" s="3"/>
      <c r="E298" s="3"/>
    </row>
    <row r="299" spans="1:5" x14ac:dyDescent="0.25">
      <c r="A299" s="3"/>
      <c r="B299" s="3"/>
      <c r="C299" s="1"/>
      <c r="D299" s="3"/>
      <c r="E299" s="3"/>
    </row>
    <row r="300" spans="1:5" x14ac:dyDescent="0.25">
      <c r="A300" s="3"/>
      <c r="B300" s="3"/>
      <c r="C300" s="1"/>
      <c r="D300" s="3"/>
      <c r="E300" s="3"/>
    </row>
    <row r="301" spans="1:5" x14ac:dyDescent="0.25">
      <c r="A301" s="3"/>
      <c r="B301" s="3"/>
      <c r="C301" s="1"/>
      <c r="D301" s="3"/>
      <c r="E301" s="3"/>
    </row>
    <row r="302" spans="1:5" x14ac:dyDescent="0.25">
      <c r="C302" s="1"/>
      <c r="E302" s="1"/>
    </row>
    <row r="303" spans="1:5" x14ac:dyDescent="0.25">
      <c r="C303" s="1"/>
      <c r="E303" s="1"/>
    </row>
    <row r="304" spans="1:5" x14ac:dyDescent="0.25">
      <c r="C304" s="1"/>
      <c r="E304" s="1"/>
    </row>
    <row r="305" spans="1:5" x14ac:dyDescent="0.25">
      <c r="C305" s="1"/>
      <c r="E305" s="1"/>
    </row>
    <row r="306" spans="1:5" x14ac:dyDescent="0.25">
      <c r="C306" s="1"/>
      <c r="E306" s="1"/>
    </row>
    <row r="307" spans="1:5" x14ac:dyDescent="0.25">
      <c r="C307" s="1"/>
      <c r="E307" s="1"/>
    </row>
    <row r="308" spans="1:5" x14ac:dyDescent="0.25">
      <c r="C308" s="1"/>
      <c r="E308" s="1"/>
    </row>
    <row r="309" spans="1:5" x14ac:dyDescent="0.25">
      <c r="C309" s="1"/>
      <c r="E309" s="1"/>
    </row>
    <row r="310" spans="1:5" x14ac:dyDescent="0.25">
      <c r="C310" s="1"/>
      <c r="E310" s="1"/>
    </row>
    <row r="311" spans="1:5" x14ac:dyDescent="0.25">
      <c r="C311" s="1"/>
      <c r="E311" s="1"/>
    </row>
    <row r="312" spans="1:5" x14ac:dyDescent="0.25">
      <c r="A312" s="3"/>
      <c r="B312" s="3"/>
      <c r="C312" s="1"/>
      <c r="D312" s="3"/>
      <c r="E312" s="3"/>
    </row>
    <row r="313" spans="1:5" x14ac:dyDescent="0.25">
      <c r="A313" s="3"/>
      <c r="B313" s="3"/>
      <c r="C313" s="1"/>
      <c r="D313" s="3"/>
      <c r="E313" s="3"/>
    </row>
    <row r="314" spans="1:5" x14ac:dyDescent="0.25">
      <c r="A314" s="3"/>
      <c r="B314" s="3"/>
      <c r="C314" s="1"/>
      <c r="D314" s="3"/>
      <c r="E314" s="3"/>
    </row>
    <row r="315" spans="1:5" x14ac:dyDescent="0.25">
      <c r="A315" s="3"/>
      <c r="B315" s="3"/>
      <c r="C315" s="1"/>
      <c r="D315" s="3"/>
      <c r="E315" s="3"/>
    </row>
    <row r="316" spans="1:5" x14ac:dyDescent="0.25">
      <c r="A316" s="3"/>
      <c r="B316" s="3"/>
      <c r="C316" s="1"/>
      <c r="D316" s="3"/>
      <c r="E316" s="3"/>
    </row>
    <row r="317" spans="1:5" x14ac:dyDescent="0.25">
      <c r="A317" s="3"/>
      <c r="B317" s="3"/>
      <c r="C317" s="1"/>
      <c r="D317" s="3"/>
      <c r="E317" s="3"/>
    </row>
    <row r="318" spans="1:5" x14ac:dyDescent="0.25">
      <c r="A318" s="3"/>
      <c r="B318" s="3"/>
      <c r="C318" s="1"/>
      <c r="D318" s="3"/>
      <c r="E318" s="3"/>
    </row>
    <row r="319" spans="1:5" x14ac:dyDescent="0.25">
      <c r="A319" s="3"/>
      <c r="B319" s="3"/>
      <c r="C319" s="1"/>
      <c r="D319" s="3"/>
      <c r="E319" s="3"/>
    </row>
    <row r="320" spans="1:5" x14ac:dyDescent="0.25">
      <c r="A320" s="3"/>
      <c r="B320" s="3"/>
      <c r="C320" s="1"/>
      <c r="D320" s="3"/>
      <c r="E320" s="3"/>
    </row>
    <row r="321" spans="1:5" x14ac:dyDescent="0.25">
      <c r="A321" s="3"/>
      <c r="B321" s="3"/>
      <c r="C321" s="1"/>
      <c r="D321" s="3"/>
      <c r="E321" s="3"/>
    </row>
    <row r="322" spans="1:5" x14ac:dyDescent="0.25">
      <c r="C322" s="1"/>
      <c r="E322" s="1"/>
    </row>
    <row r="323" spans="1:5" x14ac:dyDescent="0.25">
      <c r="C323" s="1"/>
      <c r="E323" s="1"/>
    </row>
    <row r="324" spans="1:5" x14ac:dyDescent="0.25">
      <c r="C324" s="1"/>
      <c r="E324" s="1"/>
    </row>
    <row r="325" spans="1:5" x14ac:dyDescent="0.25">
      <c r="C325" s="1"/>
      <c r="E325" s="1"/>
    </row>
    <row r="326" spans="1:5" x14ac:dyDescent="0.25">
      <c r="C326" s="1"/>
      <c r="E326" s="1"/>
    </row>
    <row r="327" spans="1:5" x14ac:dyDescent="0.25">
      <c r="C327" s="1"/>
      <c r="E327" s="1"/>
    </row>
    <row r="328" spans="1:5" x14ac:dyDescent="0.25">
      <c r="C328" s="1"/>
      <c r="E328" s="1"/>
    </row>
    <row r="329" spans="1:5" x14ac:dyDescent="0.25">
      <c r="C329" s="1"/>
      <c r="E329" s="1"/>
    </row>
    <row r="330" spans="1:5" x14ac:dyDescent="0.25">
      <c r="C330" s="1"/>
      <c r="E330" s="1"/>
    </row>
    <row r="331" spans="1:5" x14ac:dyDescent="0.25">
      <c r="C331" s="1"/>
      <c r="E331" s="1"/>
    </row>
    <row r="332" spans="1:5" x14ac:dyDescent="0.25">
      <c r="A332" s="3"/>
      <c r="B332" s="3"/>
      <c r="C332" s="1"/>
      <c r="D332" s="3"/>
      <c r="E332" s="3"/>
    </row>
    <row r="333" spans="1:5" x14ac:dyDescent="0.25">
      <c r="A333" s="3"/>
      <c r="B333" s="3"/>
      <c r="C333" s="1"/>
      <c r="D333" s="3"/>
      <c r="E333" s="3"/>
    </row>
    <row r="334" spans="1:5" x14ac:dyDescent="0.25">
      <c r="A334" s="3"/>
      <c r="B334" s="3"/>
      <c r="C334" s="1"/>
      <c r="D334" s="3"/>
      <c r="E334" s="3"/>
    </row>
    <row r="335" spans="1:5" x14ac:dyDescent="0.25">
      <c r="A335" s="3"/>
      <c r="B335" s="3"/>
      <c r="C335" s="1"/>
      <c r="D335" s="3"/>
      <c r="E335" s="3"/>
    </row>
    <row r="336" spans="1:5" x14ac:dyDescent="0.25">
      <c r="A336" s="3"/>
      <c r="B336" s="3"/>
      <c r="C336" s="1"/>
      <c r="D336" s="3"/>
      <c r="E336" s="3"/>
    </row>
    <row r="337" spans="1:5" x14ac:dyDescent="0.25">
      <c r="A337" s="3"/>
      <c r="B337" s="3"/>
      <c r="C337" s="1"/>
      <c r="D337" s="3"/>
      <c r="E337" s="3"/>
    </row>
    <row r="338" spans="1:5" x14ac:dyDescent="0.25">
      <c r="A338" s="3"/>
      <c r="B338" s="3"/>
      <c r="C338" s="1"/>
      <c r="D338" s="3"/>
      <c r="E338" s="3"/>
    </row>
    <row r="339" spans="1:5" x14ac:dyDescent="0.25">
      <c r="A339" s="3"/>
      <c r="B339" s="3"/>
      <c r="C339" s="1"/>
      <c r="D339" s="3"/>
      <c r="E339" s="3"/>
    </row>
    <row r="340" spans="1:5" x14ac:dyDescent="0.25">
      <c r="A340" s="3"/>
      <c r="B340" s="3"/>
      <c r="C340" s="1"/>
      <c r="D340" s="3"/>
      <c r="E340" s="3"/>
    </row>
    <row r="341" spans="1:5" x14ac:dyDescent="0.25">
      <c r="A341" s="3"/>
      <c r="B341" s="3"/>
      <c r="C341" s="1"/>
      <c r="D341" s="3"/>
      <c r="E341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Example</vt:lpstr>
      <vt:lpstr>EM</vt:lpstr>
      <vt:lpstr>Hadron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Blad</dc:creator>
  <cp:lastModifiedBy>Arthur Lu</cp:lastModifiedBy>
  <dcterms:created xsi:type="dcterms:W3CDTF">2018-11-13T15:37:26Z</dcterms:created>
  <dcterms:modified xsi:type="dcterms:W3CDTF">2018-11-13T19:16:17Z</dcterms:modified>
</cp:coreProperties>
</file>